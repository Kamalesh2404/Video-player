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bout the Curriculum" sheetId="1" state="visible" r:id="rId3"/>
    <sheet name="Self-Led View" sheetId="2" state="visible" r:id="rId4"/>
    <sheet name="Module List" sheetId="3" state="visible" r:id="rId5"/>
    <sheet name="Performance Outcomes" sheetId="4" state="visible" r:id="rId6"/>
    <sheet name="Sprint 0&amp;1 - Tech Scope" sheetId="5" state="visible" r:id="rId7"/>
    <sheet name="Sprint 2 - Tech Scope" sheetId="6" state="visible" r:id="rId8"/>
    <sheet name="Sprint 3 - Tech Scope" sheetId="7" state="visible" r:id="rId9"/>
    <sheet name="Sprint 4 - Tech Scope" sheetId="8" state="visible" r:id="rId10"/>
    <sheet name="Sprint 5 - Tech Scope" sheetId="9" state="visible" r:id="rId11"/>
    <sheet name="Sprint 6 - Tech Scope" sheetId="10" state="visible" r:id="rId12"/>
    <sheet name="Sprint 7 - Tech Scope" sheetId="11" state="visible" r:id="rId13"/>
    <sheet name="Progress Tracker"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<sst xmlns="http://schemas.openxmlformats.org/spreadsheetml/2006/main" count="717" uniqueCount="543">
  <si>
    <t xml:space="preserve">Self-Led DevOps Engineer Curriculum — Kamal</t>
  </si>
  <si>
    <t xml:space="preserve">1. Name of the track</t>
  </si>
  <si>
    <t xml:space="preserve">DevOps / Cloud Engineer — Self-Led Transition Track</t>
  </si>
  <si>
    <t xml:space="preserve">2. Category</t>
  </si>
  <si>
    <t xml:space="preserve">Technical, Career and Behavioral</t>
  </si>
  <si>
    <t xml:space="preserve">3. Outcome expected</t>
  </si>
  <si>
    <t xml:space="preserve">Interview readiness for DevOps / Cloud / Platform Engineer roles at 1.5 years experience, measured against the Performance Outcomes sheet.</t>
  </si>
  <si>
    <t xml:space="preserve">4. Who is the target audience?</t>
  </si>
  <si>
    <t xml:space="preserve">Myself. DevOps support engineer at Cognizant with 1 year 3 months experience in access management, moving into a hands-on DevOps engineering role.</t>
  </si>
  <si>
    <t xml:space="preserve">5. Track duration</t>
  </si>
  <si>
    <t xml:space="preserve">22 weeks. 1 September 2026 to 31 January 2027. Approximately 15 hours per week (2 hours on weekdays, 5 hours across the weekend) alongside a full-time job.</t>
  </si>
  <si>
    <t xml:space="preserve">6. Structure</t>
  </si>
  <si>
    <t xml:space="preserve">• Sprints 0–1: Linux, scripting, Git, networking (Weeks 1–4)
• Sprint 2: AWS cloud core (Weeks 5–7)
• Sprint 3: Docker and certification (Weeks 8–9)
• Sprint 4: CI/CD and Infrastructure as Code (Weeks 10–11)
• Sprint 5: Kubernetes (Weeks 12–13)
• Sprint 6: Capstone projects and observability (Weeks 14–15)
• Sprint 7: Interview readiness (Weeks 16–18)
• Execution phase: interviews, negotiation, offer (Weeks 19–22)</t>
  </si>
  <si>
    <t xml:space="preserve">7. What is the gating criteria?</t>
  </si>
  <si>
    <t xml:space="preserve">To consider myself deployment-ready I must clear all five:
• AWS Solutions Architect Associate passed (target: Week 9)
• Both capstone projects deployed, documented and public on GitHub (target: Week 15)
• 80% or better on the self-assessment in the Performance Outcomes sheet
• Two mock interviews completed with written feedback acted on (target: Week 18)
• 100 applications sent and tracked by end of Week 18</t>
  </si>
  <si>
    <t xml:space="preserve">8. Non-negotiable rules</t>
  </si>
  <si>
    <t xml:space="preserve">• Every module is hands-on. Watching a video does not count as done.
• Applications start in Week 11, not January. Indian interview loops run 3–8 weeks.
• AWS resources are torn down every night. Check the billing console weekly.
• Do not resign until the offer letter is in hand and background checks are cleared.
• Falling behind means carrying items forward, not shifting the dates.</t>
  </si>
  <si>
    <t xml:space="preserve">9. Realistic salary expectation</t>
  </si>
  <si>
    <t xml:space="preserve">6–14 LPA at 1.5 years experience for DevOps / Cloud Engineer roles in India, with the upper end requiring strong hands-on depth and good interview performance. Verify against current Levels.fyi and live Naukri postings before setting a walk-away number.</t>
  </si>
  <si>
    <t xml:space="preserve">10. How to use this workbook</t>
  </si>
  <si>
    <t xml:space="preserve">• Module List: what to study, in what order, with hour budgets.
• Self-Led View: the sprint-by-sprint plan with deliverables per sprint.
• Tech Scope sheets: the actual topic and sub-topic checklist per sprint.
• Performance Outcomes: what I must be able to do at the end of each sprint.
• Progress Tracker: fill in actual hours and status every week — the yellow cells.</t>
  </si>
  <si>
    <t xml:space="preserve">Week</t>
  </si>
  <si>
    <t xml:space="preserve">Sprint</t>
  </si>
  <si>
    <t xml:space="preserve">Duration</t>
  </si>
  <si>
    <t xml:space="preserve">Skills</t>
  </si>
  <si>
    <t xml:space="preserve">DevOps Aspect</t>
  </si>
  <si>
    <t xml:space="preserve">Deliverables</t>
  </si>
  <si>
    <t xml:space="preserve">Weekly Ceremonies</t>
  </si>
  <si>
    <t xml:space="preserve">Tools</t>
  </si>
  <si>
    <t xml:space="preserve">Week 1-2</t>
  </si>
  <si>
    <t xml:space="preserve">Sprint 0 - Operating System Foundations</t>
  </si>
  <si>
    <t xml:space="preserve">2 weeks (30 hrs)</t>
  </si>
  <si>
    <t xml:space="preserve">Linux Fundamentals (18 hrs)
Linux Troubleshooting &amp; Performance (12 hrs)</t>
  </si>
  <si>
    <t xml:space="preserve">Systems Fundamentals</t>
  </si>
  <si>
    <t xml:space="preserve">• Linux VM or WSL2 set up and used as daily driver
• Custom systemd service written and running
• Personal runbook for disk full, service down, slow server
• 30 command-line exercises completed without searching</t>
  </si>
  <si>
    <t xml:space="preserve">• Sunday planning: 30 min
• Daily log entry: 5 min
• Sunday review: 30 min</t>
  </si>
  <si>
    <t xml:space="preserve">• VirtualBox / WSL2
• Ubuntu
• man pages</t>
  </si>
  <si>
    <t xml:space="preserve">Week 3-4</t>
  </si>
  <si>
    <t xml:space="preserve">Sprint 1 - Automation &amp; Version Control</t>
  </si>
  <si>
    <t xml:space="preserve">Bash Scripting (10 hrs)
Git &amp; GitHub (8 hrs)
Networking for DevOps (7 hrs)
Python for Automation (5 hrs)</t>
  </si>
  <si>
    <t xml:space="preserve">Scripting and Collaboration</t>
  </si>
  <si>
    <t xml:space="preserve">• 5 working Bash scripts: log cleanup, backup, health check, user audit, bulk rename
• Public GitHub repo with README for all scripts
• 20 CIDR and subnetting questions solved correctly
• Python script calling an API and writing structured output</t>
  </si>
  <si>
    <t xml:space="preserve">• Bash
• Git
• GitHub
• curl / dig / ss
• Python 3
• VS Code</t>
  </si>
  <si>
    <t xml:space="preserve">Week 5</t>
  </si>
  <si>
    <t xml:space="preserve">Milestone 1 - Career Assets</t>
  </si>
  <si>
    <t xml:space="preserve">0.3 week (4 hrs)</t>
  </si>
  <si>
    <t xml:space="preserve">Resume, LinkedIn and GitHub profile rewrite</t>
  </si>
  <si>
    <t xml:space="preserve">Career Readiness</t>
  </si>
  <si>
    <t xml:space="preserve">• One-page resume reframing access support as IAM and RBAC work
• LinkedIn headline, About and skills updated
• AWS SAA exam slot booked for Week 9
• GitHub profile README written</t>
  </si>
  <si>
    <t xml:space="preserve">NA</t>
  </si>
  <si>
    <t xml:space="preserve">• LinkedIn
• Overleaf / Word
• GitHub</t>
  </si>
  <si>
    <t xml:space="preserve">Week 5-7</t>
  </si>
  <si>
    <t xml:space="preserve">Sprint 2 - AWS Cloud Core</t>
  </si>
  <si>
    <t xml:space="preserve">3 weeks (45 hrs)</t>
  </si>
  <si>
    <t xml:space="preserve">AWS Account &amp; IAM (10 hrs)
AWS Networking - VPC (12 hrs)
AWS Compute, LB &amp; Scaling (11 hrs)
AWS Storage &amp; Databases (7 hrs)
AWS Monitoring &amp; Cost Control (5 hrs)</t>
  </si>
  <si>
    <t xml:space="preserve">Cloud Infrastructure</t>
  </si>
  <si>
    <t xml:space="preserve">• AWS account with MFA, billing alarm and least-privilege admin role
• Two-AZ VPC built by hand: public and private subnets, NAT, bastion
• Application behind an ALB in an Auto Scaling Group
• CloudWatch dashboard and alarm wired to email
• Two SAA practice exams at 70% or better</t>
  </si>
  <si>
    <t xml:space="preserve">• Sunday planning: 30 min
• Daily log entry: 5 min
• Sunday review: 30 min
• Weekly billing check: 5 min</t>
  </si>
  <si>
    <t xml:space="preserve">• AWS Console
• AWS CLI
• CloudShell</t>
  </si>
  <si>
    <t xml:space="preserve">Week 8-9</t>
  </si>
  <si>
    <t xml:space="preserve">Sprint 3 - Containerization &amp; Certification</t>
  </si>
  <si>
    <t xml:space="preserve">Docker (18 hrs)
AWS SAA-C03 Exam Preparation (12 hrs)</t>
  </si>
  <si>
    <t xml:space="preserve">Containerization</t>
  </si>
  <si>
    <t xml:space="preserve">• Multi-stage Dockerfile: slim image, non-root user, HEALTHCHECK
• Docker Compose stack: app plus database with volumes
• Image built and pushed to Amazon ECR
• Two more practice exams at 80% or better</t>
  </si>
  <si>
    <t xml:space="preserve">• Docker Engine
• Docker Compose
• Amazon ECR</t>
  </si>
  <si>
    <t xml:space="preserve">Week 9</t>
  </si>
  <si>
    <t xml:space="preserve">Interim Evaluation</t>
  </si>
  <si>
    <t xml:space="preserve">0.2 week (1 day)</t>
  </si>
  <si>
    <t xml:space="preserve">AWS Solutions Architect Associate (SAA-C03) proctored exam, plus catch-up on anything carried over from September</t>
  </si>
  <si>
    <t xml:space="preserve">Certification</t>
  </si>
  <si>
    <t xml:space="preserve">• SAA-C03 passed
• Certificate added to LinkedIn and resume the same day</t>
  </si>
  <si>
    <t xml:space="preserve">• Pearson VUE / online proctor</t>
  </si>
  <si>
    <t xml:space="preserve">Week 10-11</t>
  </si>
  <si>
    <t xml:space="preserve">Sprint 4 - CI/CD and Infrastructure as Code</t>
  </si>
  <si>
    <t xml:space="preserve">CI/CD Fundamentals &amp; GitHub Actions (10 hrs)
Jenkins (8 hrs)
Terraform (12 hrs)</t>
  </si>
  <si>
    <t xml:space="preserve">Delivery Automation</t>
  </si>
  <si>
    <t xml:space="preserve">• GitHub Actions pipeline: lint, test, build image, push to ECR
• Declarative Jenkinsfile running the same pipeline
• Pipeline broken three ways on purpose and fixed, each documented
• Week 6 VPC and EC2 setup rebuilt entirely in Terraform with S3 remote state
• First 10 job applications sent</t>
  </si>
  <si>
    <t xml:space="preserve">• Sunday planning: 30 min
• Daily log entry: 5 min
• Sunday review: 30 min
• Application review: 20 min</t>
  </si>
  <si>
    <t xml:space="preserve">• GitHub Actions
• Jenkins
• Terraform
• AWS S3 + DynamoDB</t>
  </si>
  <si>
    <t xml:space="preserve">Week 12-13</t>
  </si>
  <si>
    <t xml:space="preserve">Sprint 5 - Container Orchestration</t>
  </si>
  <si>
    <t xml:space="preserve">Kubernetes Core Concepts (16 hrs)
Kubernetes Operations &amp; Debugging (14 hrs)</t>
  </si>
  <si>
    <t xml:space="preserve">Orchestration</t>
  </si>
  <si>
    <t xml:space="preserve">• Local kind or minikube cluster running the Sprint 3 app
• Deployment with probes, resource limits, ConfigMap and Secret
• Ingress routing to two services
• Written debugging playbook: CrashLoopBackOff, ImagePullBackOff, Pending, OOMKilled
• Simple Helm chart for own app
• Small EKS cluster created, deployed to, and destroyed</t>
  </si>
  <si>
    <t xml:space="preserve">• kind / minikube
• kubectl
• Helm
• Amazon EKS</t>
  </si>
  <si>
    <t xml:space="preserve">Week 14-15</t>
  </si>
  <si>
    <t xml:space="preserve">Sprint 6 - Capstone Projects</t>
  </si>
  <si>
    <t xml:space="preserve">Project 1: IaC + CI/CD Deployment Pipeline (15 hrs)
Project 2: Observability Stack (15 hrs)</t>
  </si>
  <si>
    <t xml:space="preserve">End-to-End Delivery</t>
  </si>
  <si>
    <t xml:space="preserve">• Project 1 live: Terraform infra, GitHub Actions deploy, dev and prod separated, rollback path
• Project 2 live: Prometheus, Grafana dashboards, Alertmanager, centralised logs
• Both READMEs with architecture diagram, decisions and cost notes
• Nightly teardown script committed
• Blog post on one incident caused on purpose and debugged
• Both repos pinned on GitHub and linked at the top of the resume</t>
  </si>
  <si>
    <t xml:space="preserve">• Sunday planning: 30 min
• Daily log entry: 5 min
• Sunday demo to self: 30 min</t>
  </si>
  <si>
    <t xml:space="preserve">• Terraform
• GitHub Actions
• Docker
• Prometheus
• Grafana
• Loki</t>
  </si>
  <si>
    <t xml:space="preserve">Week 16-18</t>
  </si>
  <si>
    <t xml:space="preserve">Sprint 7 - Interview Readiness</t>
  </si>
  <si>
    <t xml:space="preserve">DevOps Technical Interview Drills (15 hrs)
Coding &amp; Scripting Rounds (12 hrs)
STAR Stories &amp; Communication (6 hrs)
Applications, Referrals &amp; Tracking (12 hrs)</t>
  </si>
  <si>
    <t xml:space="preserve">Interview Readiness</t>
  </si>
  <si>
    <t xml:space="preserve">• 60-second answer to 'why DevOps from access support', rehearsed out loud
• 30 scenario questions answered aloud and recorded
• 30 easy Python problems plus 10 scripting tasks completed
• Six STAR stories written: conflict, failure, ownership, learning fast, initiative, pressure
• Resume v3 after feedback
• 100 total applications sent, 15 referral conversations opened</t>
  </si>
  <si>
    <t xml:space="preserve">• Excel tracker
• LinkedIn
• Naukri
• Pramp / peer mocks</t>
  </si>
  <si>
    <t xml:space="preserve">Week 18</t>
  </si>
  <si>
    <t xml:space="preserve">Final Evaluation</t>
  </si>
  <si>
    <t xml:space="preserve">0.3 week (6 hrs)</t>
  </si>
  <si>
    <t xml:space="preserve">Two mock interview rounds with a senior engineer, plus self-assessment against the Performance Outcomes sheet</t>
  </si>
  <si>
    <t xml:space="preserve">Evaluation</t>
  </si>
  <si>
    <t xml:space="preserve">• Two mocks completed with written feedback
• Self-assessment scored; weakest two areas drilled
• Gating criteria reviewed honestly</t>
  </si>
  <si>
    <t xml:space="preserve">• Peer or paid mock interview
• Performance Outcomes sheet</t>
  </si>
  <si>
    <t xml:space="preserve">Week 19-22</t>
  </si>
  <si>
    <t xml:space="preserve">Execution Phase - Interviews and Offers</t>
  </si>
  <si>
    <t xml:space="preserve">4 weeks (60 hrs)</t>
  </si>
  <si>
    <t xml:space="preserve">Interview Loops &amp; Debriefs (40 hrs)
Offer Evaluation &amp; CTC Negotiation (6 hrs)
Daily Skill Maintenance (14 hrs)</t>
  </si>
  <si>
    <t xml:space="preserve">Conversion</t>
  </si>
  <si>
    <t xml:space="preserve">• 15 applications per week, every company and stage tracked
• Same-day debrief note after every round, gap closed before the next
• Light system design prepared: CI/CD for a team of 20, make this app highly available
• Offer negotiated on total CTC with a competing process in play
• Offer letter in hand and checks cleared before resigning
• First-90-days learning list written for the new role</t>
  </si>
  <si>
    <t xml:space="preserve">• Daily: 1 hour learning to stay sharp
• Same-day debrief after each round
• Sunday pipeline review: 30 min</t>
  </si>
  <si>
    <t xml:space="preserve">• Excel tracker
• LinkedIn
• Levels.fyi
• Email</t>
  </si>
  <si>
    <t xml:space="preserve">Course Category</t>
  </si>
  <si>
    <t xml:space="preserve">Courses/Modules</t>
  </si>
  <si>
    <t xml:space="preserve">Delivery Mode</t>
  </si>
  <si>
    <t xml:space="preserve">Baseline Duration (Hrs)</t>
  </si>
  <si>
    <t xml:space="preserve">Weeks</t>
  </si>
  <si>
    <t xml:space="preserve">Assured Level</t>
  </si>
  <si>
    <t xml:space="preserve">Sprint Total (Hrs)</t>
  </si>
  <si>
    <t xml:space="preserve">Sprint Total (Wks)</t>
  </si>
  <si>
    <t xml:space="preserve">Sprint 0</t>
  </si>
  <si>
    <t xml:space="preserve">Operating Systems</t>
  </si>
  <si>
    <t xml:space="preserve">Linux Fundamentals</t>
  </si>
  <si>
    <t xml:space="preserve">Hands-On</t>
  </si>
  <si>
    <t xml:space="preserve">Skill</t>
  </si>
  <si>
    <t xml:space="preserve">Linux Troubleshooting &amp; Performance</t>
  </si>
  <si>
    <t xml:space="preserve">Sprint 1</t>
  </si>
  <si>
    <t xml:space="preserve">Automation</t>
  </si>
  <si>
    <t xml:space="preserve">Bash Scripting</t>
  </si>
  <si>
    <t xml:space="preserve">Version Control</t>
  </si>
  <si>
    <t xml:space="preserve">Git &amp; GitHub</t>
  </si>
  <si>
    <t xml:space="preserve">Networking</t>
  </si>
  <si>
    <t xml:space="preserve">Networking for DevOps</t>
  </si>
  <si>
    <t xml:space="preserve">Blended Learning</t>
  </si>
  <si>
    <t xml:space="preserve">Knowledge</t>
  </si>
  <si>
    <t xml:space="preserve">Python for Automation</t>
  </si>
  <si>
    <t xml:space="preserve">Milestone 1</t>
  </si>
  <si>
    <t xml:space="preserve">Career Assets</t>
  </si>
  <si>
    <t xml:space="preserve">Resume, LinkedIn &amp; GitHub Profile Rewrite</t>
  </si>
  <si>
    <t xml:space="preserve">Self-Paced</t>
  </si>
  <si>
    <t xml:space="preserve">Sprint 2</t>
  </si>
  <si>
    <t xml:space="preserve">Cloud Platform</t>
  </si>
  <si>
    <t xml:space="preserve">AWS Account, IAM &amp; Identity</t>
  </si>
  <si>
    <t xml:space="preserve">AWS Networking (VPC)</t>
  </si>
  <si>
    <t xml:space="preserve">AWS Compute, Load Balancing &amp; Auto Scaling</t>
  </si>
  <si>
    <t xml:space="preserve">AWS Storage &amp; Databases</t>
  </si>
  <si>
    <t xml:space="preserve">AWS Monitoring, Logging &amp; Cost Control</t>
  </si>
  <si>
    <t xml:space="preserve">Sprint 3</t>
  </si>
  <si>
    <t xml:space="preserve">Docker</t>
  </si>
  <si>
    <t xml:space="preserve">AWS SAA-C03 Exam Preparation</t>
  </si>
  <si>
    <t xml:space="preserve">Self-Paced + Practice Tests</t>
  </si>
  <si>
    <t xml:space="preserve">Evaluations</t>
  </si>
  <si>
    <t xml:space="preserve">AWS Solutions Architect Associate (SAA-C03) Exam</t>
  </si>
  <si>
    <t xml:space="preserve">Proctored Exam</t>
  </si>
  <si>
    <t xml:space="preserve">Sprint 4</t>
  </si>
  <si>
    <t xml:space="preserve">CI/CD</t>
  </si>
  <si>
    <t xml:space="preserve">CI/CD Fundamentals &amp; GitHub Actions</t>
  </si>
  <si>
    <t xml:space="preserve">Jenkins</t>
  </si>
  <si>
    <t xml:space="preserve">Infrastructure as Code</t>
  </si>
  <si>
    <t xml:space="preserve">Terraform</t>
  </si>
  <si>
    <t xml:space="preserve">Sprint 5</t>
  </si>
  <si>
    <t xml:space="preserve">Kubernetes Core Concepts</t>
  </si>
  <si>
    <t xml:space="preserve">Kubernetes Operations &amp; Debugging</t>
  </si>
  <si>
    <t xml:space="preserve">Sprint 6</t>
  </si>
  <si>
    <t xml:space="preserve">Capstone</t>
  </si>
  <si>
    <t xml:space="preserve">Project 1: IaC + CI/CD Deployment Pipeline</t>
  </si>
  <si>
    <t xml:space="preserve">Project</t>
  </si>
  <si>
    <t xml:space="preserve">Observability</t>
  </si>
  <si>
    <t xml:space="preserve">Project 2: Prometheus, Grafana &amp; Centralised Logging</t>
  </si>
  <si>
    <t xml:space="preserve">Sprint 7</t>
  </si>
  <si>
    <t xml:space="preserve">DevOps Technical Interview Drills</t>
  </si>
  <si>
    <t xml:space="preserve">Practice</t>
  </si>
  <si>
    <t xml:space="preserve">Coding &amp; Scripting Rounds</t>
  </si>
  <si>
    <t xml:space="preserve">Behavioral</t>
  </si>
  <si>
    <t xml:space="preserve">STAR Stories &amp; Communication</t>
  </si>
  <si>
    <t xml:space="preserve">Job Search</t>
  </si>
  <si>
    <t xml:space="preserve">Applications, Referrals &amp; Tracking</t>
  </si>
  <si>
    <t xml:space="preserve">Activity</t>
  </si>
  <si>
    <t xml:space="preserve">Mock Interview Panel (2 rounds) + Self-Assessment</t>
  </si>
  <si>
    <t xml:space="preserve">Mock Interview</t>
  </si>
  <si>
    <t xml:space="preserve">Execution</t>
  </si>
  <si>
    <t xml:space="preserve">Interview Loops &amp; Debriefs</t>
  </si>
  <si>
    <t xml:space="preserve">Negotiation</t>
  </si>
  <si>
    <t xml:space="preserve">Offer Evaluation &amp; CTC Negotiation</t>
  </si>
  <si>
    <t xml:space="preserve">Continuity</t>
  </si>
  <si>
    <t xml:space="preserve">Daily 1-Hour Skill Maintenance</t>
  </si>
  <si>
    <t xml:space="preserve">Total Track Duration (Hrs.)</t>
  </si>
  <si>
    <t xml:space="preserve">22 weeks</t>
  </si>
  <si>
    <t xml:space="preserve">Hour budget: 343 hrs planned against ~330 hrs available (15 hrs/week x 22 weeks). The 13-hour overrun is deliberate slack-free packing, so any week you lose must be recovered, not absorbed. Column E is my own estimate, not a vendor figure - correct it in the Progress Tracker once I know my real pace. The Execution phase (60 hrs) is interview and negotiation time, not study time.</t>
  </si>
  <si>
    <t xml:space="preserve">Key Performance Outcomes</t>
  </si>
  <si>
    <t xml:space="preserve">Self-Score (1-5)</t>
  </si>
  <si>
    <t xml:space="preserve">• Navigate and administer a Linux system from the command line without a GUI.
• Explain and set file permissions, ownership, and umask, and reason about why a process cannot read a file.
• Manage services with systemd and read logs with journalctl, including writing a unit file from scratch.
• Diagnose a full disk, a failed service, and a slow server using standard tools and explain the reasoning aloud.
• Interpret load average, memory pressure, and OOM kills correctly.</t>
  </si>
  <si>
    <t xml:space="preserve">• Write idempotent Bash scripts using functions, arguments, exit codes and traps, and explain why each matters in automation.
• Use Git confidently in a team workflow: branch, rebase, resolve conflicts, revert safely, and open a clean pull request.
• Explain the path of a DNS lookup and a TLS handshake, and debug connectivity with curl, dig, ss and traceroute.
• Calculate subnets and CIDR ranges quickly and without a calculator.
• Write Python that calls an API, handles errors, parses JSON and takes command-line arguments.</t>
  </si>
  <si>
    <t xml:space="preserve">• Design and build a multi-AZ VPC with public and private subnets, routing and controlled ingress.
• Explain the difference between security groups and NACLs, and between IAM users, roles and policies.
• Apply least privilege in IAM, use assume-role instead of long-lived keys, and explain why that matters.
• Launch compute behind a load balancer in an Auto Scaling Group and explain the health check path.
• Choose appropriate storage and database services for a workload and justify the choice on cost and durability.
• Set up monitoring, alarms and cost guardrails before deploying anything.</t>
  </si>
  <si>
    <t xml:space="preserve">• Write a production-grade Dockerfile: multi-stage, minimal base, non-root user, healthcheck, layer caching understood.
• Explain the difference between an image, a layer and a container, and what happens on docker run.
• Compose a multi-service stack with persistent volumes and inter-container networking.
• Push and pull images from a private registry and reason about image tagging strategy.
• Hold AWS Solutions Architect Associate certification.</t>
  </si>
  <si>
    <t xml:space="preserve">• Design a CI/CD pipeline covering build, test, artifact, environments, approvals and rollback.
• Implement that pipeline in GitHub Actions with secrets, caching and reusable workflows.
• Write a declarative Jenkinsfile and explain agents, credentials and stages.
• Diagnose a failing pipeline from logs alone.
• Provision real infrastructure with Terraform using remote state and locking, and explain why state matters.
• Write reusable Terraform modules and use plan output to reason about blast radius before applying.</t>
  </si>
  <si>
    <t xml:space="preserve">• Explain Kubernetes architecture and what each control plane component does.
• Deploy an application with Deployments, Services and Ingress, and perform a rolling update and rollback.
• Configure probes, resource requests and limits, ConfigMaps and Secrets correctly.
• Debug CrashLoopBackOff, ImagePullBackOff, Pending pods and OOMKilled containers methodically.
• Apply RBAC and service accounts — connecting directly to my access-management background.
• Install and write a basic Helm chart.</t>
  </si>
  <si>
    <t xml:space="preserve">• Ship an end-to-end project where infrastructure is code, deployment is automated, and rollback is tested.
• Instrument an application with Prometheus metrics and write useful PromQL queries.
• Build a Grafana dashboard and an alert that fires on a real condition, not a synthetic one.
• Centralise container logs and trace a request through them.
• Explain every architectural decision in my own projects, including what I would do differently at scale.
• Estimate and control the monthly cost of my own infrastructure.</t>
  </si>
  <si>
    <t xml:space="preserve">• Answer 'why DevOps from access support' in under 60 seconds, convincingly and truthfully.
• Handle scenario questions on production incidents, failed deploys, cost spikes and rollbacks out loud.
• Solve easy Python problems and practical scripting tasks under time pressure.
• Tell six STAR stories covering conflict, failure, ownership, fast learning, initiative and pressure.
• Explain my own projects at whiteboard level, including trade-offs I rejected.
• Run a structured job search: tracked applications, active referrals, timely follow-ups.</t>
  </si>
  <si>
    <t xml:space="preserve">• Convert interviews into offers by debriefing every round and closing the gap before the next one.
• Negotiate on total CTC without naming the first number, using a competing process as leverage.
• Evaluate an offer on more than base salary: role scope, team, learning curve, stability.
• Exit Cognizant professionally with notice served and relationships intact.</t>
  </si>
  <si>
    <t xml:space="preserve">Average</t>
  </si>
  <si>
    <t xml:space="preserve">Fill the yellow column honestly: 1 = never touched it, 3 = can do it with notes open, 5 = can do it and teach it in an interview. Gating criteria needs an average of 4.0 (80%).</t>
  </si>
  <si>
    <t xml:space="preserve">Topics</t>
  </si>
  <si>
    <t xml:space="preserve">Sub-Topics</t>
  </si>
  <si>
    <t xml:space="preserve">Status</t>
  </si>
  <si>
    <t xml:space="preserve">Getting Set Up</t>
  </si>
  <si>
    <t xml:space="preserve">Install Ubuntu in VirtualBox or enable WSL2; snapshot the clean VM; configure the terminal; learn to read man pages, --help and info; use tab completion and history (Ctrl+R)</t>
  </si>
  <si>
    <t xml:space="preserve">Filesystem and Navigation</t>
  </si>
  <si>
    <t xml:space="preserve">Filesystem Hierarchy Standard (/etc, /var, /usr, /opt, /proc, /tmp); absolute vs relative paths; ls, cd, pwd, tree; cp, mv, rm, mkdir, touch; hard links vs symbolic links; inodes and what df -i shows</t>
  </si>
  <si>
    <t xml:space="preserve">Permissions and Ownership</t>
  </si>
  <si>
    <t xml:space="preserve">rwx for user, group, other; numeric vs symbolic chmod; chown and chgrp; umask and default permissions; setuid, setgid and the sticky bit; why a process cannot read a file it appears to own</t>
  </si>
  <si>
    <t xml:space="preserve">Users, Groups and Access</t>
  </si>
  <si>
    <t xml:space="preserve">/etc/passwd, /etc/shadow, /etc/group; useradd, usermod, passwd, groupadd; sudo and /etc/sudoers with visudo; su vs sudo -i; SSH key generation, authorized_keys, ~/.ssh/config, agent forwarding and why it is risky</t>
  </si>
  <si>
    <t xml:space="preserve">Text Processing</t>
  </si>
  <si>
    <t xml:space="preserve">cat, less, head, tail -f; grep with -r, -i, -v, -E and basic regex; sed for substitution and deletion; awk for field extraction and simple reports; cut, sort, uniq, wc, tr; find with -name, -type, -mtime, -size, -exec; xargs</t>
  </si>
  <si>
    <t xml:space="preserve">Pipes and Redirection</t>
  </si>
  <si>
    <t xml:space="preserve">stdin, stdout, stderr and file descriptors 0, 1, 2; &gt;, &gt;&gt;, 2&gt;, &amp;&gt;, 2&gt;&amp;1; pipes and tee; here-documents and here-strings; command substitution; why 2&gt;&amp;1 order matters</t>
  </si>
  <si>
    <t xml:space="preserve">Package and Software Management</t>
  </si>
  <si>
    <t xml:space="preserve">apt update vs upgrade; apt install, remove, purge; dpkg basics; yum and dnf equivalents; repositories and GPG keys; installing from a tarball vs a package; snap awareness</t>
  </si>
  <si>
    <t xml:space="preserve">Archiving and Transfer</t>
  </si>
  <si>
    <t xml:space="preserve">tar create, list and extract with -z, -j, -J; gzip, bzip2, xz; zip and unzip; scp, rsync with -avz and --delete, sftp; rsync dry runs before destructive syncs</t>
  </si>
  <si>
    <t xml:space="preserve">Practice Target</t>
  </si>
  <si>
    <t xml:space="preserve">Complete 30 command-line exercises with no searching allowed; log every one failed and redo it the next day; spend one full day using only the terminal, no file manager</t>
  </si>
  <si>
    <t xml:space="preserve">Processes and Signals</t>
  </si>
  <si>
    <t xml:space="preserve">Process states and the process tree; ps aux vs ps -ef; pstree; top and htop columns explained; signals SIGTERM, SIGKILL, SIGHUP; kill, killall, pkill; nice and renice; foreground and background jobs, jobs, fg, bg, nohup, screen or tmux</t>
  </si>
  <si>
    <t xml:space="preserve">systemd and Service Management</t>
  </si>
  <si>
    <t xml:space="preserve">systemctl start, stop, restart, reload, status, enable, disable, mask; unit file anatomy ([Unit], [Service], [Install]); Type=simple vs forking vs oneshot; Restart policies; write a custom unit for your own script and make it survive reboot; systemctl daemon-reload; targets vs runlevels</t>
  </si>
  <si>
    <t xml:space="preserve">Logs and journald</t>
  </si>
  <si>
    <t xml:space="preserve">journalctl -u, -f, --since, --until, -p, -b; persistent vs volatile journal; /var/log structure: syslog, auth.log, dmesg, kern.log; logrotate configuration and why logs fill disks</t>
  </si>
  <si>
    <t xml:space="preserve">Disk and Filesystem Issues</t>
  </si>
  <si>
    <t xml:space="preserve">df -h vs df -i and the difference between full and out-of-inodes; du -sh sorted to find the culprit; lsblk, blkid, mount, umount, /etc/fstab; ext4 vs xfs awareness; fsck; LVM concepts: PV, VG, LV, extending a volume; deleted-but-open files held by a process (lsof | grep deleted)</t>
  </si>
  <si>
    <t xml:space="preserve">Memory and CPU Analysis</t>
  </si>
  <si>
    <t xml:space="preserve">free -h and what buff/cache really means; load average interpreted against core count; vmstat, iostat, sar, pidstat; swap and swappiness; the OOM killer and reading its dmesg entry; distinguishing CPU-bound, IO-bound and memory-bound symptoms</t>
  </si>
  <si>
    <t xml:space="preserve">Network Troubleshooting from the Host</t>
  </si>
  <si>
    <t xml:space="preserve">ip addr, ip route, ip link; ss -tulnp to find what is listening; ping, traceroute, mtr; telnet and nc for port checks; iptables and ufw basics; /etc/hosts and /etc/resolv.conf</t>
  </si>
  <si>
    <t xml:space="preserve">Build Your Own Runbooks</t>
  </si>
  <si>
    <t xml:space="preserve">Write a step-by-step runbook for each: disk is full; service will not start; server is slow; cannot SSH in; port is not reachable. Each runbook must list the exact commands in order and the decision at each branch. These become interview answers.</t>
  </si>
  <si>
    <t xml:space="preserve">Script Basics</t>
  </si>
  <si>
    <t xml:space="preserve">Shebang and why #!/usr/bin/env bash is preferred; making scripts executable; set -euo pipefail and what each flag prevents; comments and self-documenting scripts; shellcheck</t>
  </si>
  <si>
    <t xml:space="preserve">Variables and Expansion</t>
  </si>
  <si>
    <t xml:space="preserve">Assignment and quoting rules; single vs double quotes; ${VAR}, ${VAR:-default}, ${VAR:?error}; ${#VAR}, substring and pattern removal; arrays and associative arrays; command substitution $(...); environment vs shell variables and export</t>
  </si>
  <si>
    <t xml:space="preserve">Control Flow</t>
  </si>
  <si>
    <t xml:space="preserve">if, elif, else with [[ ]] vs [ ]; string vs numeric comparison operators; case statements; for, while, until loops; reading a file line by line safely; break and continue</t>
  </si>
  <si>
    <t xml:space="preserve">Functions, Arguments and Exit Codes</t>
  </si>
  <si>
    <t xml:space="preserve">Defining functions and local variables; positional parameters $1, $@, $*, $#; shift; getopts for flags; return vs exit; $? and meaningful exit codes; trap for cleanup on EXIT, INT and TERM</t>
  </si>
  <si>
    <t xml:space="preserve">Five Scripts to Write</t>
  </si>
  <si>
    <t xml:space="preserve">1) Log cleanup: delete files older than N days with a dry-run flag. 2) Backup: tar a directory, timestamp it, rotate to keep the last 7. 3) Health check: verify disk, memory and a service, exit non-zero on failure. 4) User audit: list users with sudo rights and last login, output CSV. 5) Bulk rename with pattern matching. Every script needs --help, error handling and a README entry.</t>
  </si>
  <si>
    <t xml:space="preserve">Scheduling</t>
  </si>
  <si>
    <t xml:space="preserve">cron syntax field by field; crontab -e and -l; user vs system crontabs; why cron jobs fail (PATH and environment); redirecting cron output to a log; systemd timers as the modern alternative</t>
  </si>
  <si>
    <t xml:space="preserve">Core Model</t>
  </si>
  <si>
    <t xml:space="preserve">Working directory, staging area, local repository, remote; what a commit actually is; git init, clone, status, add, commit, log with --oneline --graph --all; .gitignore and global gitignore; git diff staged vs unstaged</t>
  </si>
  <si>
    <t xml:space="preserve">Branching and Merging</t>
  </si>
  <si>
    <t xml:space="preserve">Creating and switching branches; fast-forward vs three-way merge; resolving conflict markers by hand; merge vs rebase and when each is appropriate; interactive rebase to squash; cherry-pick; understanding that rebase rewrites history and never doing it on shared branches</t>
  </si>
  <si>
    <t xml:space="preserve">Undoing Things Safely</t>
  </si>
  <si>
    <t xml:space="preserve">git restore vs checkout for files; reset --soft, --mixed, --hard and what each loses; revert for published commits; stash and stash pop; reflog to recover a lost commit; amend for the last commit only</t>
  </si>
  <si>
    <t xml:space="preserve">Remotes and Collaboration</t>
  </si>
  <si>
    <t xml:space="preserve">origin and upstream; fetch vs pull vs pull --rebase; push and tracking branches; force-with-lease vs force; forking workflow; opening a pull request, responding to review comments, keeping a branch up to date</t>
  </si>
  <si>
    <t xml:space="preserve">Team Conventions</t>
  </si>
  <si>
    <t xml:space="preserve">Writing a commit message that explains why, not what; conventional commit prefixes; trunk-based development vs Git Flow; tags and semantic versioning; branch protection rules; signing commits awareness; keeping secrets out of history and what to do if one gets committed</t>
  </si>
  <si>
    <t xml:space="preserve">Layered Model and Packets</t>
  </si>
  <si>
    <t xml:space="preserve">OSI and TCP/IP layers mapped to real tools; MAC vs IP addressing; ARP; encapsulation; MTU and fragmentation awareness</t>
  </si>
  <si>
    <t xml:space="preserve">TCP, UDP and Ports</t>
  </si>
  <si>
    <t xml:space="preserve">Three-way handshake and connection teardown; TCP vs UDP trade-offs; well-known ports worth memorising (22, 53, 80, 443, 3306, 5432, 6379, 8080); TIME_WAIT and connection states in ss output; keep-alives</t>
  </si>
  <si>
    <t xml:space="preserve">IP Addressing and Subnetting</t>
  </si>
  <si>
    <t xml:space="preserve">IPv4 structure, private ranges (10.0.0.0/8, 172.16.0.0/12, 192.168.0.0/16); CIDR notation; calculating network, broadcast and usable host counts; splitting a /16 into /24s for VPC design; complete 20 practice questions until fast; NAT and why private subnets need it</t>
  </si>
  <si>
    <t xml:space="preserve">DNS</t>
  </si>
  <si>
    <t xml:space="preserve">Resolution path: stub resolver, recursive resolver, root, TLD, authoritative; record types A, AAAA, CNAME, MX, TXT, NS, SOA; TTL and propagation; dig and dig +trace; /etc/resolv.conf; why a DNS TTL matters during a cutover</t>
  </si>
  <si>
    <t xml:space="preserve">HTTP, HTTPS and TLS</t>
  </si>
  <si>
    <t xml:space="preserve">Request and response anatomy; methods and idempotency; status code families and the ones that matter (301, 302, 400, 401, 403, 404, 429, 500, 502, 503, 504); headers; cookies; TLS handshake steps; certificates, chains of trust, CN vs SAN; certificate expiry as a real incident cause</t>
  </si>
  <si>
    <t xml:space="preserve">Proxies and Load Balancing Concepts</t>
  </si>
  <si>
    <t xml:space="preserve">Forward vs reverse proxy; L4 vs L7 load balancing; sticky sessions; health checks; nginx as a reverse proxy, a basic config written by hand; X-Forwarded-For</t>
  </si>
  <si>
    <t xml:space="preserve">Language Essentials for Ops</t>
  </si>
  <si>
    <t xml:space="preserve">Virtual environments with venv and why never to pip install globally; requirements.txt and pip freeze; strings, lists, dicts, sets; comprehensions; f-strings; functions and default arguments; exceptions with try, except, finally and raising your own</t>
  </si>
  <si>
    <t xml:space="preserve">Files, JSON and YAML</t>
  </si>
  <si>
    <t xml:space="preserve">Reading and writing files with context managers; the json module for parse and dump; PyYAML for config files; csv module; pathlib over string paths; handling encoding errors gracefully</t>
  </si>
  <si>
    <t xml:space="preserve">Interacting with Systems</t>
  </si>
  <si>
    <t xml:space="preserve">subprocess.run with check and capture_output, and why shell=True is dangerous; os and sys modules; environment variables with os.environ; argparse for proper CLI tools with --help; logging module instead of print</t>
  </si>
  <si>
    <t xml:space="preserve">APIs and AWS</t>
  </si>
  <si>
    <t xml:space="preserve">requests: GET and POST, headers, auth, timeouts, status checks, retries; parsing paginated responses; boto3 client vs resource; listing S3 buckets and EC2 instances; credentials chain and why the code should never contain keys</t>
  </si>
  <si>
    <t xml:space="preserve">Script to Write</t>
  </si>
  <si>
    <t xml:space="preserve">A tool that queries an API or AWS, filters the results by a flag passed on the command line, writes both a JSON and a CSV output, logs what it did, and exits with a non-zero code on failure</t>
  </si>
  <si>
    <t xml:space="preserve">Account Setup and Guardrails</t>
  </si>
  <si>
    <t xml:space="preserve">Create the account; enable MFA on root and then stop using root; create an admin IAM user; set a billing alarm and a low budget before launching anything; enable IAM Billing access; understand the free tier limits that actually matter (750 hrs t2/t3.micro, 5 GB S3, 750 hrs RDS)</t>
  </si>
  <si>
    <t xml:space="preserve">Global Infrastructure</t>
  </si>
  <si>
    <t xml:space="preserve">Regions, Availability Zones, Local Zones, edge locations; choosing a region on latency, price and service availability; which services are global (IAM, Route 53, CloudFront) vs regional vs zonal</t>
  </si>
  <si>
    <t xml:space="preserve">IAM Core</t>
  </si>
  <si>
    <t xml:space="preserve">Users, groups, roles and policies; identity-based vs resource-based policies; policy JSON anatomy: Version, Statement, Effect, Action, Resource, Condition; managed vs inline policies; policy evaluation logic and explicit deny winning</t>
  </si>
  <si>
    <t xml:space="preserve">IAM in Practice</t>
  </si>
  <si>
    <t xml:space="preserve">Least privilege and starting from deny; roles for EC2 via instance profiles; sts:AssumeRole and cross-account access; permission boundaries; service-linked roles; why long-lived access keys are a liability and how to rotate them; IAM Access Analyzer and last-accessed data</t>
  </si>
  <si>
    <t xml:space="preserve">Connect to Your Own Experience</t>
  </si>
  <si>
    <t xml:space="preserve">Map your access-management work onto this vocabulary: request, approval, provisioning, periodic review, revocation on exit, separation of duties, audit trail. Write down three examples from your CTS work in AWS IAM terms — these go into interviews.</t>
  </si>
  <si>
    <t xml:space="preserve">Access Methods</t>
  </si>
  <si>
    <t xml:space="preserve">Console, AWS CLI v2 configuration and named profiles, SDK, CloudShell; aws configure vs environment variables vs instance roles; aws sts get-caller-identity to confirm who you are</t>
  </si>
  <si>
    <t xml:space="preserve">VPC Fundamentals</t>
  </si>
  <si>
    <t xml:space="preserve">What a VPC is and default vs custom VPC; CIDR sizing for a VPC and planning room to grow; subnets and their AZ binding; reserved IPs in every subnet; DNS hostnames and resolution settings</t>
  </si>
  <si>
    <t xml:space="preserve">Routing and Gateways</t>
  </si>
  <si>
    <t xml:space="preserve">Route tables, the local route, and explicit vs main association; Internet Gateway; NAT Gateway vs NAT instance and the cost difference; public vs private subnet defined by routing, not by name; Egress-only IGW awareness</t>
  </si>
  <si>
    <t xml:space="preserve">Traffic Control</t>
  </si>
  <si>
    <t xml:space="preserve">Security groups: stateful, allow-only, reference another SG as a source; NACLs: stateless, ordered rules, allow and deny, why ephemeral ports must be open; when to reach for which; troubleshooting a blocked connection layer by layer</t>
  </si>
  <si>
    <t xml:space="preserve">Connectivity Patterns</t>
  </si>
  <si>
    <t xml:space="preserve">VPC peering and its non-transitive limitation; Transit Gateway concept; VPC endpoints, gateway vs interface, and using them to keep S3 traffic off the internet; Site-to-Site VPN and Direct Connect at an awareness level</t>
  </si>
  <si>
    <t xml:space="preserve">Hands-On Build</t>
  </si>
  <si>
    <t xml:space="preserve">Build by hand, twice, without a wizard: VPC 10.0.0.0/16, two public and two private subnets across two AZs, IGW, NAT Gateway, correct route tables, a bastion host in public, an app server in private, SSH through the bastion, outbound updates working from the private subnet. Then delete it all and note the cost.</t>
  </si>
  <si>
    <t xml:space="preserve">Observability and Debugging</t>
  </si>
  <si>
    <t xml:space="preserve">VPC Flow Logs enabled to CloudWatch and read; Reachability Analyzer; common failure modes: missing route, wrong SG, no public IP, NAT in a private subnet</t>
  </si>
  <si>
    <t xml:space="preserve">EC2 Basics</t>
  </si>
  <si>
    <t xml:space="preserve">Instance families and what they are for; instance sizing; AMIs and creating your own; key pairs and connecting via SSH and Session Manager; user data for bootstrap scripts; instance metadata service and IMDSv2; stop vs terminate vs hibernate</t>
  </si>
  <si>
    <t xml:space="preserve">Storage for Instances</t>
  </si>
  <si>
    <t xml:space="preserve">EBS volume types gp3, io2, st1 and choosing on IOPS and throughput; attaching, formatting and mounting a volume; snapshots and restoring from one; encryption at rest; instance store and its ephemerality; resizing a volume and extending the filesystem</t>
  </si>
  <si>
    <t xml:space="preserve">Pricing Models</t>
  </si>
  <si>
    <t xml:space="preserve">On-demand, reserved, savings plans, spot, dedicated; spot interruption handling; which model fits a CI runner vs a production web tier; why this question comes up in interviews</t>
  </si>
  <si>
    <t xml:space="preserve">Load Balancing</t>
  </si>
  <si>
    <t xml:space="preserve">ALB vs NLB vs classic; target groups and registration; health checks and the difference between a failing health check and a failing app; listeners and rules for path and host routing; sticky sessions; cross-zone load balancing; TLS termination with ACM</t>
  </si>
  <si>
    <t xml:space="preserve">Auto Scaling</t>
  </si>
  <si>
    <t xml:space="preserve">Launch templates vs launch configurations; ASG min, max and desired; scaling policies: target tracking, step, scheduled; cooldowns and warm-up; lifecycle hooks; how an ASG plus ALB plus health check produce self-healing; instance refresh for rolling updates</t>
  </si>
  <si>
    <t xml:space="preserve">Put a simple web app behind an ALB in an ASG across two AZs, with user data installing the app. Terminate an instance and watch it come back. Break the health check on purpose and observe the behaviour.</t>
  </si>
  <si>
    <t xml:space="preserve">S3</t>
  </si>
  <si>
    <t xml:space="preserve">Buckets, objects, keys and the flat namespace; storage classes and lifecycle transitions; versioning and delete markers; bucket policies vs ACLs vs Block Public Access; presigned URLs; static website hosting; server-side encryption SSE-S3 vs SSE-KMS; S3 as a Terraform state backend, which you will need in Sprint 4</t>
  </si>
  <si>
    <t xml:space="preserve">Other Storage</t>
  </si>
  <si>
    <t xml:space="preserve">EFS for shared POSIX storage and when it beats EBS; FSx awareness; AWS Backup concept; data transfer costs as a hidden bill driver</t>
  </si>
  <si>
    <t xml:space="preserve">RDS</t>
  </si>
  <si>
    <t xml:space="preserve">Supported engines; instance vs Aurora; multi-AZ for availability vs read replicas for scale, and the crucial difference between them; automated backups vs manual snapshots; maintenance and backup windows; parameter and option groups; subnet groups and keeping databases private; encryption; failover behaviour</t>
  </si>
  <si>
    <t xml:space="preserve">DynamoDB</t>
  </si>
  <si>
    <t xml:space="preserve">Tables, items, partition key and sort key; on-demand vs provisioned capacity; why a bad partition key causes hot partitions; GSI vs LSI at an awareness level; DynamoDB as the Terraform state lock table</t>
  </si>
  <si>
    <t xml:space="preserve">Caching and Delivery</t>
  </si>
  <si>
    <t xml:space="preserve">ElastiCache Redis vs Memcached at concept level; CloudFront distributions, origins, cache behaviours and invalidation; Route 53 record types and routing policies (simple, weighted, latency, failover)</t>
  </si>
  <si>
    <t xml:space="preserve">CloudWatch</t>
  </si>
  <si>
    <t xml:space="preserve">Metrics, namespaces, dimensions and statistics; standard vs detailed monitoring; custom metrics and why memory is not a default EC2 metric; the CloudWatch agent; alarms with thresholds, evaluation periods and missing-data treatment; composite alarms; dashboards; CloudWatch Logs, log groups, streams, retention settings and Logs Insights queries</t>
  </si>
  <si>
    <t xml:space="preserve">Auditing and Config</t>
  </si>
  <si>
    <t xml:space="preserve">CloudTrail for who did what and when, management vs data events, and sending it to S3; AWS Config for resource configuration history and compliance rules; how these two answer a real audit question, which ties to your current role</t>
  </si>
  <si>
    <t xml:space="preserve">Notification and Automation</t>
  </si>
  <si>
    <t xml:space="preserve">SNS topics and subscriptions for alarm email; EventBridge rules reacting to state changes; Lambda triggered by an event for simple remediation; Systems Manager Session Manager, Parameter Store and Patch Manager</t>
  </si>
  <si>
    <t xml:space="preserve">Cost Control</t>
  </si>
  <si>
    <t xml:space="preserve">Cost Explorer and reading it weekly; budgets and alerts; tagging strategy for cost allocation; the usual free-tier killers: NAT Gateway hours, EIPs on stopped instances, EBS snapshots, idle load balancers, orphaned volumes; a nightly teardown habit and script</t>
  </si>
  <si>
    <t xml:space="preserve">Well-Architected Thinking</t>
  </si>
  <si>
    <t xml:space="preserve">The six pillars named and understood; the reliability and cost pillars in most depth; shared responsibility model stated clearly — this is a guaranteed interview question</t>
  </si>
  <si>
    <t xml:space="preserve">Containers vs Virtual Machines</t>
  </si>
  <si>
    <t xml:space="preserve">Kernel namespaces and cgroups as the actual mechanism; what a container shares with the host; why containers start in milliseconds; when a VM is still the right answer; the container runtime landscape: Docker, containerd, runc, Podman</t>
  </si>
  <si>
    <t xml:space="preserve">Images, Layers and the Build Cache</t>
  </si>
  <si>
    <t xml:space="preserve">Images as stacked read-only layers plus a writable container layer; the union filesystem; how each Dockerfile instruction creates a layer; cache invalidation and why COPY package.json before COPY . matters; docker history to inspect layers; image size and why it affects deploy speed</t>
  </si>
  <si>
    <t xml:space="preserve">Dockerfile in Depth</t>
  </si>
  <si>
    <t xml:space="preserve">FROM and choosing a base (alpine vs slim vs distroless trade-offs); RUN and chaining commands; COPY vs ADD; WORKDIR; ENV vs ARG; EXPOSE; USER and running as non-root; ENTRYPOINT vs CMD and the exec vs shell form; HEALTHCHECK; .dockerignore; multi-stage builds to keep build tools out of the final image; LABEL for metadata</t>
  </si>
  <si>
    <t xml:space="preserve">Running and Managing Containers</t>
  </si>
  <si>
    <t xml:space="preserve">docker run flags: -d, -p, -e, --name, --rm, -v, --network, --restart; exec, logs, inspect, stats, top, cp; start, stop, kill and the SIGTERM grace period; prune commands to reclaim disk; resource limits with --memory and --cpus</t>
  </si>
  <si>
    <t xml:space="preserve">Data and Volumes</t>
  </si>
  <si>
    <t xml:space="preserve">Why container filesystems are ephemeral; named volumes vs bind mounts vs tmpfs; volume drivers at awareness level; backing up a volume; file ownership problems with bind mounts</t>
  </si>
  <si>
    <t xml:space="preserve">Default bridge vs user-defined bridge and DNS resolution by container name; host and none modes; port publishing and the difference between EXPOSE and -p; overlay networks at awareness level; connecting an app container to a database container</t>
  </si>
  <si>
    <t xml:space="preserve">Docker Compose</t>
  </si>
  <si>
    <t xml:space="preserve">compose.yaml structure: services, image vs build, ports, environment, env_file, volumes, networks; depends_on and why it does not wait for readiness; healthcheck plus condition: service_healthy; up, down, logs, ps, exec; profiles and override files; a full app-plus-Postgres stack with an init SQL script and a persistent volume</t>
  </si>
  <si>
    <t xml:space="preserve">Registries and Security</t>
  </si>
  <si>
    <t xml:space="preserve">Docker Hub vs Amazon ECR; tagging strategy and why :latest is dangerous in production; docker login, push, pull; ECR repository creation, lifecycle policies and auth token flow; scanning images for vulnerabilities; not baking secrets into images; reading a .dockerignore for leaked files</t>
  </si>
  <si>
    <t xml:space="preserve">Hands-On Deliverables</t>
  </si>
  <si>
    <t xml:space="preserve">Containerise a real app with a multi-stage build, non-root user and healthcheck, under 200 MB; run the same app via Compose with a database and persistent data; push the image to ECR; deploy the container onto the EC2 instance built in Sprint 2</t>
  </si>
  <si>
    <t xml:space="preserve">Exam Mechanics</t>
  </si>
  <si>
    <t xml:space="preserve">65 questions, 130 minutes, scaled score 100–100 with 720 to pass; multiple choice and multiple response; book the slot in Week 5 so the deadline is real; online proctored vs test centre; the rules about your room and desk for online proctoring</t>
  </si>
  <si>
    <t xml:space="preserve">Weighted Domains</t>
  </si>
  <si>
    <t xml:space="preserve">Design secure architectures (30%); design resilient architectures (26%); design high-performing architectures (24%); design cost-optimised architectures (20%). Study time should follow these weights rather than personal interest.</t>
  </si>
  <si>
    <t xml:space="preserve">Question Strategy</t>
  </si>
  <si>
    <t xml:space="preserve">Read the last line first to find what is actually being asked; identify the constraint word (MOST cost-effective, LEAST operational overhead, MOST resilient); eliminate answers that do not meet the stated requirement; watch for managed-service-preferred patterns; flag and return rather than stalling</t>
  </si>
  <si>
    <t xml:space="preserve">High-Yield Topics</t>
  </si>
  <si>
    <t xml:space="preserve">Multi-AZ vs read replica; S3 storage class selection; IAM role vs access key; SQS vs SNS vs EventBridge; ALB vs NLB; Aurora failover; DynamoDB capacity modes; decoupling with queues; CloudFront with S3 origin; Direct Connect vs VPN; KMS key policies; cost trade-offs of NAT Gateway, savings plans and spot</t>
  </si>
  <si>
    <t xml:space="preserve">Practice Plan</t>
  </si>
  <si>
    <t xml:space="preserve">Two full-length practice exams in Week 7 (target 70%+), two more in Week 9 (target 80%+); review every wrong answer and write down why the correct one wins, not just what it is; keep an error log and re-test only the weak domains</t>
  </si>
  <si>
    <t xml:space="preserve">Why CI/CD Exists</t>
  </si>
  <si>
    <t xml:space="preserve">Manual deployment failure modes; continuous integration vs continuous delivery vs continuous deployment stated precisely; the pipeline stages: source, build, test, package, deploy, verify; artifacts and immutability; deployment frequency and lead time as real metrics</t>
  </si>
  <si>
    <t xml:space="preserve">Deployment Strategies</t>
  </si>
  <si>
    <t xml:space="preserve">Recreate, rolling, blue-green, canary; the trade-off between risk and cost for each; feature flags as a decoupling mechanism; rollback plans that are tested rather than assumed; database migrations as the hard part of any rollback</t>
  </si>
  <si>
    <t xml:space="preserve">GitHub Actions Structure</t>
  </si>
  <si>
    <t xml:space="preserve">Workflow YAML in .github/workflows; events: push, pull_request, schedule, workflow_dispatch; jobs, runs-on, steps, uses vs run; needs for job dependencies; matrix builds; if conditionals and expressions; concurrency groups to cancel superseded runs</t>
  </si>
  <si>
    <t xml:space="preserve">Actions in Practice</t>
  </si>
  <si>
    <t xml:space="preserve">Checkout and setup actions; caching dependencies and measuring the speedup; repository secrets and environment secrets; GITHUB_TOKEN permissions and least privilege; OIDC federation to assume an AWS role without storing keys (the modern correct answer); uploading artifacts; environments with required reviewers; reusable and composite workflows; self-hosted runners</t>
  </si>
  <si>
    <t xml:space="preserve">Pipeline to Build</t>
  </si>
  <si>
    <t xml:space="preserve">On pull request: lint, unit test, build the Docker image. On merge to main: push the image to ECR with the commit SHA as the tag, then deploy. Include a manual approval before prod and a working rollback job.</t>
  </si>
  <si>
    <t xml:space="preserve">Debugging Pipelines</t>
  </si>
  <si>
    <t xml:space="preserve">Reading a failing job log top-down; reproducing the failure locally; act for local runs; break your own pipeline three ways on purpose — a failing test, a missing secret, a bad image tag — and write down the symptom, the log line that revealed it, and the fix</t>
  </si>
  <si>
    <t xml:space="preserve">Setup and Architecture</t>
  </si>
  <si>
    <t xml:space="preserve">Install Jenkins in Docker; controller and agent model; executors; the plugin ecosystem and its risks; initial security setup, users and roles; why so many Indian enterprises still run Jenkins, which is why you must know it</t>
  </si>
  <si>
    <t xml:space="preserve">Declarative Pipeline</t>
  </si>
  <si>
    <t xml:space="preserve">Jenkinsfile structure: pipeline, agent, stages, stage, steps, post; environment and parameters blocks; when and conditional stages; parallel stages; input for manual approval; options such as timeout, retry and buildDiscarder; scripted vs declarative</t>
  </si>
  <si>
    <t xml:space="preserve">Integration and Credentials</t>
  </si>
  <si>
    <t xml:space="preserve">Credentials store and the credentials() helper; never echoing a secret; webhook triggers from GitHub vs polling; multibranch pipelines; publishing test results and artifacts; agents in Docker; shared libraries at awareness level</t>
  </si>
  <si>
    <t xml:space="preserve">Reimplement the GitHub Actions pipeline as a Jenkinsfile so you can speak to both in interviews; be able to state clearly when you would choose one over the other</t>
  </si>
  <si>
    <t xml:space="preserve">Infrastructure as Code Concepts</t>
  </si>
  <si>
    <t xml:space="preserve">Declarative vs imperative; idempotency; why clicking in the console does not scale and cannot be reviewed; Terraform vs CloudFormation vs Pulumi vs Ansible, and configuration management vs provisioning</t>
  </si>
  <si>
    <t xml:space="preserve">HCL and Core Workflow</t>
  </si>
  <si>
    <t xml:space="preserve">Provider and required_version blocks; resource and data blocks; variables with type, default, description and validation; outputs; locals; expressions, functions, for_each and count; conditionals and dynamic blocks; init, validate, fmt, plan, apply, destroy; reading a plan carefully before applying</t>
  </si>
  <si>
    <t xml:space="preserve">State — the part interviews probe</t>
  </si>
  <si>
    <t xml:space="preserve">What the state file contains and why it holds secrets; local vs remote state; S3 backend with DynamoDB locking, set up by hand; why two engineers applying at once corrupts things; terraform state list, show, mv, rm; terraform import for existing resources; refresh behaviour; never editing state by hand; drift and how it happens</t>
  </si>
  <si>
    <t xml:space="preserve">Modules and Structure</t>
  </si>
  <si>
    <t xml:space="preserve">Writing a module with inputs and outputs; calling public registry modules and reading their source before trusting them; root module layout; separating environments with directories vs workspaces and the trade-off; versioning modules; keeping secrets out of .tf files and using variables plus Secrets Manager</t>
  </si>
  <si>
    <t xml:space="preserve">Lifecycle and Dependencies</t>
  </si>
  <si>
    <t xml:space="preserve">Implicit dependencies via references vs explicit depends_on; lifecycle with create_before_destroy, prevent_destroy and ignore_changes; taint and replace; targeted apply as a last resort; provisioners and why they are a last resort</t>
  </si>
  <si>
    <t xml:space="preserve">Hands-On Deliverable</t>
  </si>
  <si>
    <t xml:space="preserve">Rebuild the entire Sprint 2 VPC, subnets, routing, security groups, ALB, ASG and EC2 in Terraform, with remote state in S3, locking in DynamoDB, variables for environment, and modules for network and compute. Destroy and recreate it end to end to prove it is reproducible.</t>
  </si>
  <si>
    <t xml:space="preserve">Why Orchestration</t>
  </si>
  <si>
    <t xml:space="preserve">The problems Docker alone leaves open: scheduling, self-healing, scaling, service discovery, rolling updates; declarative desired state and the reconciliation loop as the central idea</t>
  </si>
  <si>
    <t xml:space="preserve">Architecture</t>
  </si>
  <si>
    <t xml:space="preserve">Control plane: kube-apiserver, etcd, kube-scheduler, kube-controller-manager, cloud-controller-manager; nodes: kubelet, kube-proxy, container runtime; how a kubectl apply actually flows through these; what breaks when etcd is unhealthy; managed control planes in EKS</t>
  </si>
  <si>
    <t xml:space="preserve">Pods</t>
  </si>
  <si>
    <t xml:space="preserve">Pod as the smallest deployable unit and why a pod can hold more than one container; sidecar, init containers and their ordering; pod lifecycle phases and restart policies; shared network namespace and volumes within a pod; static pods at awareness level</t>
  </si>
  <si>
    <t xml:space="preserve">Workload Controllers</t>
  </si>
  <si>
    <t xml:space="preserve">ReplicaSet and why you rarely create one directly; Deployment for stateless apps; rolling update strategy with maxSurge and maxUnavailable; rollout status, history, undo; StatefulSet for ordered, identity-bound pods; DaemonSet for per-node agents; Job and CronJob for batch work</t>
  </si>
  <si>
    <t xml:space="preserve">Networking and Service Discovery</t>
  </si>
  <si>
    <t xml:space="preserve">The flat pod network model and CNI at concept level; ClusterIP, NodePort, LoadBalancer and headless services; Endpoints and how a selector binds a service to pods; cluster DNS and service FQDN format; Ingress resources, ingress controllers, path and host rules, TLS; Gateway API awareness; NetworkPolicy for pod-to-pod restriction</t>
  </si>
  <si>
    <t xml:space="preserve">Configuration and Secrets</t>
  </si>
  <si>
    <t xml:space="preserve">ConfigMap from literal, file and env; Secret types and the fact that base64 is not encryption; consuming both as env vars vs mounted volumes and the reload implications; encryption at rest for etcd; external secrets operators at awareness level</t>
  </si>
  <si>
    <t xml:space="preserve">Scheduling and Resources</t>
  </si>
  <si>
    <t xml:space="preserve">requests vs limits and how they drive scheduling and eviction; CPU throttling vs memory OOMKill; QoS classes Guaranteed, Burstable, BestEffort; node selectors, affinity and anti-affinity; taints and tolerations; PodDisruptionBudget; HorizontalPodAutoscaler and Cluster Autoscaler</t>
  </si>
  <si>
    <t xml:space="preserve">Storage</t>
  </si>
  <si>
    <t xml:space="preserve">Volumes vs PersistentVolume vs PersistentVolumeClaim; StorageClass and dynamic provisioning; access modes and reclaim policies; EBS CSI driver on EKS; why ReadWriteMany usually means EFS</t>
  </si>
  <si>
    <t xml:space="preserve">kubectl Fluency</t>
  </si>
  <si>
    <t xml:space="preserve">get, describe, logs (with -f, --previous, -c), exec, port-forward, apply, delete, edit, rollout, scale, top, explain; -o yaml, -o json, -o jsonpath and -o wide; labels and selectors; contexts and namespaces with kubectl config; dry-run=client for validation; kubectl diff before apply</t>
  </si>
  <si>
    <t xml:space="preserve">The Debugging Playbook</t>
  </si>
  <si>
    <t xml:space="preserve">Pending — insufficient resources, no matching node, unbound PVC, taints. ImagePullBackOff — wrong tag, private registry auth, typo. CrashLoopBackOff — read logs with --previous, bad command, missing config, failing probe. OOMKilled — limits too low, memory leak. Running but unreachable — wrong selector, wrong port, readiness failing, ingress misrouted. Write each of these as a numbered runbook with the exact commands.</t>
  </si>
  <si>
    <t xml:space="preserve">Probes and Reliability</t>
  </si>
  <si>
    <t xml:space="preserve">Liveness vs readiness vs startup probes and the damage a wrong liveness probe does; initialDelaySeconds, periodSeconds, failureThreshold; graceful shutdown, terminationGracePeriodSeconds and preStop hooks; why a pod keeps receiving traffic during shutdown without them</t>
  </si>
  <si>
    <t xml:space="preserve">RBAC and Multi-Tenancy</t>
  </si>
  <si>
    <t xml:space="preserve">Namespaces as a boundary; ServiceAccount, Role, ClusterRole, RoleBinding, ClusterRoleBinding; verbs and resources; kubectl auth can-i to verify; ResourceQuota and LimitRange; this section is your strongest interview bridge — you already do access control for a living, so be able to compare Kubernetes RBAC with the IAM and AD work you do now</t>
  </si>
  <si>
    <t xml:space="preserve">Helm</t>
  </si>
  <si>
    <t xml:space="preserve">Charts, values, templates, releases; helm install, upgrade, rollback, list, uninstall; values overrides and -f; template and --dry-run to inspect rendered manifests; chart dependencies; writing a minimal chart for your own app; Kustomize as the alternative</t>
  </si>
  <si>
    <t xml:space="preserve">EKS Specifics</t>
  </si>
  <si>
    <t xml:space="preserve">Cluster creation with eksctl or Terraform; managed node groups vs self-managed vs Fargate; IRSA — IAM roles for service accounts — and why it beats node-level permissions; aws-auth ConfigMap or access entries; AWS Load Balancer Controller creating an ALB from an Ingress; cost awareness: control plane hourly charge plus nodes plus load balancers, so destroy after every session</t>
  </si>
  <si>
    <t xml:space="preserve">Cluster Hygiene</t>
  </si>
  <si>
    <t xml:space="preserve">Version skew and upgrade strategy; node draining and cordoning; events as a first-class debugging source; resource cleanup; etcd backup concept; CKA-level practice even if you skip the exam</t>
  </si>
  <si>
    <t xml:space="preserve">Scope and Story</t>
  </si>
  <si>
    <t xml:space="preserve">One containerised application, provisioned by Terraform, built and deployed by GitHub Actions, running on EKS or ECS or EC2. The project exists to prove you can join the pieces, so the README must explain every decision, not just the commands.</t>
  </si>
  <si>
    <t xml:space="preserve">Infrastructure Layer</t>
  </si>
  <si>
    <t xml:space="preserve">Terraform modules for network and compute; remote state in S3 with DynamoDB locking; separate dev and prod via variables; tagged resources for cost allocation; outputs consumed by the pipeline; a documented, tested destroy path</t>
  </si>
  <si>
    <t xml:space="preserve">Pipeline Layer</t>
  </si>
  <si>
    <t xml:space="preserve">Lint and test on pull request; build and push an immutable image tagged with the commit SHA; deploy to dev automatically; manual approval gate before prod; smoke test after deploy; a rollback job you have actually run at least once; OIDC to AWS instead of stored keys</t>
  </si>
  <si>
    <t xml:space="preserve">Operational Quality</t>
  </si>
  <si>
    <t xml:space="preserve">Secrets in Secrets Manager or Parameter Store, never in the repo; least-privilege IAM for the pipeline role; nightly teardown script committed and scheduled; monthly cost estimate written in the README</t>
  </si>
  <si>
    <t xml:space="preserve">Documentation</t>
  </si>
  <si>
    <t xml:space="preserve">Architecture diagram drawn in draw.io or Mermaid; a decisions section listing what you chose and what you rejected and why; a known limitations section, which signals seniority more than a feature list; setup instructions another person could follow; screenshots of a successful and a failed run</t>
  </si>
  <si>
    <t xml:space="preserve">Interview Rehearsal</t>
  </si>
  <si>
    <t xml:space="preserve">Be able to whiteboard this from memory in five minutes; know the answer to 'what breaks at 100x traffic', 'how would you add a second region', 'what is your rollback time', and 'what would you do differently'</t>
  </si>
  <si>
    <t xml:space="preserve">Project 2: Observability Stack</t>
  </si>
  <si>
    <t xml:space="preserve">Metrics with Prometheus</t>
  </si>
  <si>
    <t xml:space="preserve">Pull model and scrape configuration; exporters: node_exporter for hosts, cAdvisor for containers, application client libraries; metric types counter, gauge, histogram, summary; labels and cardinality as a real operational hazard; PromQL: rate, increase, sum by, histogram_quantile; recording rules; retention and storage sizing; kube-prometheus-stack via Helm</t>
  </si>
  <si>
    <t xml:space="preserve">Dashboards with Grafana</t>
  </si>
  <si>
    <t xml:space="preserve">Data sources; building a dashboard rather than importing one blindly; variables and templating; the four golden signals — latency, traffic, errors, saturation — as the dashboard's structure; annotations tied to deploys; dashboards as code via provisioning</t>
  </si>
  <si>
    <t xml:space="preserve">Alerting</t>
  </si>
  <si>
    <t xml:space="preserve">Alert rules with for duration to avoid flapping; severity labels and routing in Alertmanager; receivers for email or Slack; grouping, inhibition and silences; symptom-based alerting over cause-based; why every alert must be actionable, and what alert fatigue costs</t>
  </si>
  <si>
    <t xml:space="preserve">Logs</t>
  </si>
  <si>
    <t xml:space="preserve">Structured logging in the application; Loki with Promtail, or ELK with Filebeat; log labels vs full-text indexing and the cost implications; retention policy; correlating a log line to a metric spike to a deploy; tracing with OpenTelemetry at awareness level</t>
  </si>
  <si>
    <t xml:space="preserve">Prove It Works</t>
  </si>
  <si>
    <t xml:space="preserve">Cause a real incident on purpose: exhaust memory, return 500s, saturate CPU, or kill the database connection. Detect it through your own alert, diagnose it through your own dashboard and logs, fix it, then write the incident up as a blog post with timeline, root cause and what you changed. This single artefact is worth more in interviews than any certificate.</t>
  </si>
  <si>
    <t xml:space="preserve">SRE Vocabulary</t>
  </si>
  <si>
    <t xml:space="preserve">SLI, SLO and error budget defined and applied to your own service; MTTR and MTBF; blameless postmortem structure; toil and its reduction; on-call rotation basics; runbook writing — you already have an advantage here from support work</t>
  </si>
  <si>
    <t xml:space="preserve">The Positioning Answer</t>
  </si>
  <si>
    <t xml:space="preserve">A 60-second, truthful answer to 'why DevOps when you have done access support'. Structure: what the support role actually taught you (IAM, RBAC, least privilege, change control, incident flow), what you built to close the gap, and what you want next. Rehearse it out loud twenty times until it is not recited.</t>
  </si>
  <si>
    <t xml:space="preserve">Scenario Questions to Answer Aloud</t>
  </si>
  <si>
    <t xml:space="preserve">Deploy went out and errors spiked — what do you do first? Disk is full on a production node at 2am. A pod is CrashLoopBackOff and the logs are empty. Pipeline passes locally and fails in CI. Terraform plan wants to destroy the database. AWS bill tripled this month. A developer needs prod access for an hour. Certificate expired in production. Answer thirty of these aloud and record yourself; listen back for filler and hedging.</t>
  </si>
  <si>
    <t xml:space="preserve">Fundamentals Rapid Fire</t>
  </si>
  <si>
    <t xml:space="preserve">Linux: permissions, process states, systemd, disk troubleshooting. Networking: DNS path, TLS handshake, status codes, subnetting. AWS: IAM roles vs keys, multi-AZ vs read replica, SG vs NACL, shared responsibility. Docker: image vs container, multi-stage, ENTRYPOINT vs CMD. Kubernetes: architecture, probes, RBAC, debugging flow. Terraform: state, locking, modules, drift. CI/CD: strategies, rollback, secrets.</t>
  </si>
  <si>
    <t xml:space="preserve">Project Defence</t>
  </si>
  <si>
    <t xml:space="preserve">For each capstone: the architecture from memory, why each tool, what you rejected, what it costs per month, what breaks first under load, what you would change with three more weeks. Interviewers trust a candidate who names their own project's weaknesses.</t>
  </si>
  <si>
    <t xml:space="preserve">Mock Interviews</t>
  </si>
  <si>
    <t xml:space="preserve">Two full mocks with someone more senior, ideally one stranger. Written feedback after each. Pick the two weakest areas and drill them before the next. Do not skip this because it is uncomfortable — that discomfort is exactly the gap between knowing and performing.</t>
  </si>
  <si>
    <t xml:space="preserve">Python Problem Set</t>
  </si>
  <si>
    <t xml:space="preserve">Thirty easy problems: string manipulation, list and dict operations, counting and frequency, two pointers, basic sorting, file parsing. Speed and correctness over cleverness. DevOps rounds rarely go past easy, but they do check whether you can write working code at all.</t>
  </si>
  <si>
    <t xml:space="preserve">Practical Scripting Tasks</t>
  </si>
  <si>
    <t xml:space="preserve">Parse a log file and report the top 10 error sources. Find the largest files under a path. Call a paginated API and write CSV. Check a list of URLs for status and TLS expiry. Diff two JSON configs. Rotate and compress logs older than N days. Each one written from scratch under 30 minutes with no reference.</t>
  </si>
  <si>
    <t xml:space="preserve">Linux Live Exercises</t>
  </si>
  <si>
    <t xml:space="preserve">Expect a shared terminal: find the process holding a port, extract fields from a log with awk, fix a broken systemd unit, locate what filled the disk, write a one-liner to count unique IPs. Practise narrating your reasoning while typing, because silence reads as not knowing.</t>
  </si>
  <si>
    <t xml:space="preserve">SQL Basics</t>
  </si>
  <si>
    <t xml:space="preserve">SELECT with WHERE, GROUP BY, HAVING, ORDER BY, LIMIT; INNER vs LEFT JOIN; COUNT, SUM, AVG; a subquery. Enough to not freeze if it comes up.</t>
  </si>
  <si>
    <t xml:space="preserve">Six Stories to Write</t>
  </si>
  <si>
    <t xml:space="preserve">Conflict with a colleague or lead. A failure you caused and what changed afterwards. Taking ownership beyond your assigned scope. Learning something fast under pressure. An initiative you started unprompted. Working under a hard deadline. Write each as Situation, Task, Action, Result in under 150 words, with a real outcome.</t>
  </si>
  <si>
    <t xml:space="preserve">Sourcing Material from Support Work</t>
  </si>
  <si>
    <t xml:space="preserve">Access request backlogs cleared, an audit you supported, a recurring ticket whose root cause you found, documentation you wrote that reduced questions, a wrong access grant you caught, an escalation you handled calmly. Support work contains real stories; the mistake is dismissing it as unskilled.</t>
  </si>
  <si>
    <t xml:space="preserve">Delivery</t>
  </si>
  <si>
    <t xml:space="preserve">Answer the question asked, then stop; do not trail off into filler. Quantify where you honestly can. Never blame a named colleague. Have three questions ready for the interviewer about on-call load, team structure and what the first 90 days look like.</t>
  </si>
  <si>
    <t xml:space="preserve">Honesty Under Pressure</t>
  </si>
  <si>
    <t xml:space="preserve">Practise saying 'I have not used that in production, but here is what I understand and how I would approach it'. This scores better than bluffing, and bluffing is detectable within two follow-up questions.</t>
  </si>
  <si>
    <t xml:space="preserve">Target List</t>
  </si>
  <si>
    <t xml:space="preserve">Build a list of 120 companies in three tiers: product companies and funded startups (highest pay), GCCs and captives (good pay, stable), services companies (easiest switch, lower pay). Apply across all three tiers rather than waiting for the top one.</t>
  </si>
  <si>
    <t xml:space="preserve">Application Mechanics</t>
  </si>
  <si>
    <t xml:space="preserve">Apply within 48 hours of a posting going live; tailor the top third of the resume to the job description's keywords; skip the cover letter unless requested; apply on the company site as well as the job board; 15 applications a week minimum, tracked.</t>
  </si>
  <si>
    <t xml:space="preserve">Referrals</t>
  </si>
  <si>
    <t xml:space="preserve">Referrals convert far better than cold applications in the Indian market. Reconnect with college batchmates, ex-colleagues and CTS peers who moved. Send a short specific message naming the role and attaching the resume; never send 'hi, any openings?'. Post your project write-ups so people have a reason to take you seriously.</t>
  </si>
  <si>
    <t xml:space="preserve">Tracking Sheet</t>
  </si>
  <si>
    <t xml:space="preserve">Columns: company, role, source, date applied, referral contact, stage, next action, next action date, outcome, notes. Review it every Sunday. Follow up on anything older than 10 days. Record every rejection reason you can learn.</t>
  </si>
  <si>
    <t xml:space="preserve">Expectation Management</t>
  </si>
  <si>
    <t xml:space="preserve">Expect rejections in the first 10 to 15 applications; that is normal and not a signal to lower the target. Expect 3 to 8 weeks per loop, which is exactly why applications start in Week 11. Never resign before an offer letter is in hand and background checks are cleared.</t>
  </si>
  <si>
    <t xml:space="preserve">Dates</t>
  </si>
  <si>
    <t xml:space="preserve">Focus</t>
  </si>
  <si>
    <t xml:space="preserve">Planned Hrs</t>
  </si>
  <si>
    <t xml:space="preserve">Actual Hrs</t>
  </si>
  <si>
    <t xml:space="preserve">Notes / Blockers</t>
  </si>
  <si>
    <t xml:space="preserve">Sep 1 - Sep 6</t>
  </si>
  <si>
    <t xml:space="preserve">Linux fundamentals: permissions, filesystem, text processing</t>
  </si>
  <si>
    <t xml:space="preserve">Sep 7 - Sep 13</t>
  </si>
  <si>
    <t xml:space="preserve">Linux troubleshooting, systemd, disk and memory; write runbooks</t>
  </si>
  <si>
    <t xml:space="preserve">Sep 14 - Sep 20</t>
  </si>
  <si>
    <t xml:space="preserve">Bash scripting (5 scripts) and Git</t>
  </si>
  <si>
    <t xml:space="preserve">Sep 21 - Sep 27</t>
  </si>
  <si>
    <t xml:space="preserve">Networking, subnetting, Python for automation</t>
  </si>
  <si>
    <t xml:space="preserve">Sep 28 - Oct 4</t>
  </si>
  <si>
    <t xml:space="preserve">Milestone 1 / Sprint 2</t>
  </si>
  <si>
    <t xml:space="preserve">Resume, LinkedIn, book SAA exam; AWS account and IAM</t>
  </si>
  <si>
    <t xml:space="preserve">Oct 5 - Oct 11</t>
  </si>
  <si>
    <t xml:space="preserve">VPC built by hand; EC2, ALB, Auto Scaling</t>
  </si>
  <si>
    <t xml:space="preserve">Oct 12 - Oct 18</t>
  </si>
  <si>
    <t xml:space="preserve">S3, RDS, CloudWatch, cost control; 2 practice exams</t>
  </si>
  <si>
    <t xml:space="preserve">Oct 19 - Oct 25</t>
  </si>
  <si>
    <t xml:space="preserve">Docker: Dockerfile, Compose, ECR, deploy to EC2</t>
  </si>
  <si>
    <t xml:space="preserve">Oct 26 - Nov 1</t>
  </si>
  <si>
    <t xml:space="preserve">Sprint 3 / Interim Eval</t>
  </si>
  <si>
    <t xml:space="preserve">SAA final revision and exam; catch up on September gaps</t>
  </si>
  <si>
    <t xml:space="preserve">Nov 2 - Nov 8</t>
  </si>
  <si>
    <t xml:space="preserve">CI/CD concepts, GitHub Actions, Jenkins</t>
  </si>
  <si>
    <t xml:space="preserve">Nov 9 - Nov 15</t>
  </si>
  <si>
    <t xml:space="preserve">Terraform with remote state; FIRST 10 APPLICATIONS</t>
  </si>
  <si>
    <t xml:space="preserve">Nov 16 - Nov 22</t>
  </si>
  <si>
    <t xml:space="preserve">Kubernetes core: workloads, services, config, scheduling</t>
  </si>
  <si>
    <t xml:space="preserve">Nov 23 - Nov 29</t>
  </si>
  <si>
    <t xml:space="preserve">Kubernetes debugging, RBAC, Helm, EKS</t>
  </si>
  <si>
    <t xml:space="preserve">Nov 30 - Dec 6</t>
  </si>
  <si>
    <t xml:space="preserve">Project 1: Terraform + GitHub Actions pipeline, live</t>
  </si>
  <si>
    <t xml:space="preserve">Dec 7 - Dec 13</t>
  </si>
  <si>
    <t xml:space="preserve">Project 2: Prometheus, Grafana, logs; incident blog post</t>
  </si>
  <si>
    <t xml:space="preserve">Dec 14 - Dec 20</t>
  </si>
  <si>
    <t xml:space="preserve">Technical interview drills, 30 scenarios aloud, 2 mocks</t>
  </si>
  <si>
    <t xml:space="preserve">Dec 21 - Dec 27</t>
  </si>
  <si>
    <t xml:space="preserve">Coding rounds, STAR stories, salary research, 30 applications</t>
  </si>
  <si>
    <t xml:space="preserve">Dec 28 - Jan 3</t>
  </si>
  <si>
    <t xml:space="preserve">Sprint 7 / Final Eval</t>
  </si>
  <si>
    <t xml:space="preserve">Polish projects, resume v3, 30 applications, self-assessment</t>
  </si>
  <si>
    <t xml:space="preserve">Jan 4 - Jan 10</t>
  </si>
  <si>
    <t xml:space="preserve">Interview loops; 15 applications; same-day debriefs</t>
  </si>
  <si>
    <t xml:space="preserve">Jan 11 - Jan 17</t>
  </si>
  <si>
    <t xml:space="preserve">Convert referrals; light system design prep</t>
  </si>
  <si>
    <t xml:space="preserve">Jan 18 - Jan 24</t>
  </si>
  <si>
    <t xml:space="preserve">Close final rounds; negotiate on total CTC</t>
  </si>
  <si>
    <t xml:space="preserve">Jan 25 - Jan 31</t>
  </si>
  <si>
    <t xml:space="preserve">Accept in writing, then resign; first-90-days plan</t>
  </si>
  <si>
    <t xml:space="preserve">Total</t>
  </si>
  <si>
    <t xml:space="preserve">Weeks marked Done</t>
  </si>
  <si>
    <t xml:space="preserve">Weeks marked Behind</t>
  </si>
  <si>
    <t xml:space="preserve">Hours logged vs planned</t>
  </si>
  <si>
    <t xml:space="preserve">Fill the yellow columns every Sunday: actual hours, status and anything that blocked you. If a week is Behind, carry the open topics into the next week — do not shift the dates, because the Week 11 application deadline cannot move.</t>
  </si>
</sst>
</file>

<file path=xl/styles.xml><?xml version="1.0" encoding="utf-8"?>
<styleSheet xmlns="http://schemas.openxmlformats.org/spreadsheetml/2006/main">
  <numFmts count="5">
    <numFmt numFmtId="164" formatCode="General"/>
    <numFmt numFmtId="165" formatCode="General"/>
    <numFmt numFmtId="166" formatCode="0.0"/>
    <numFmt numFmtId="167" formatCode="0"/>
    <numFmt numFmtId="168" formatCode="0.0%"/>
  </numFmts>
  <fonts count="10">
    <font>
      <sz val="11"/>
      <color theme="1"/>
      <name val="Calibri"/>
      <family val="2"/>
      <charset val="1"/>
    </font>
    <font>
      <sz val="10"/>
      <name val="Arial"/>
      <family val="0"/>
    </font>
    <font>
      <sz val="10"/>
      <name val="Arial"/>
      <family val="0"/>
    </font>
    <font>
      <sz val="10"/>
      <name val="Arial"/>
      <family val="0"/>
    </font>
    <font>
      <b val="true"/>
      <sz val="14"/>
      <color rgb="FF000048"/>
      <name val="Calibri"/>
      <family val="0"/>
      <charset val="1"/>
    </font>
    <font>
      <b val="true"/>
      <sz val="11"/>
      <name val="Calibri"/>
      <family val="0"/>
      <charset val="1"/>
    </font>
    <font>
      <sz val="11"/>
      <name val="Calibri"/>
      <family val="0"/>
      <charset val="1"/>
    </font>
    <font>
      <b val="true"/>
      <sz val="12"/>
      <color rgb="FFFFFFFF"/>
      <name val="Calibri"/>
      <family val="0"/>
      <charset val="1"/>
    </font>
    <font>
      <i val="true"/>
      <sz val="10"/>
      <color rgb="FFC00000"/>
      <name val="Calibri"/>
      <family val="0"/>
      <charset val="1"/>
    </font>
    <font>
      <i val="true"/>
      <sz val="10"/>
      <color rgb="FF595959"/>
      <name val="Calibri"/>
      <family val="0"/>
      <charset val="1"/>
    </font>
  </fonts>
  <fills count="7">
    <fill>
      <patternFill patternType="none"/>
    </fill>
    <fill>
      <patternFill patternType="gray125"/>
    </fill>
    <fill>
      <patternFill patternType="solid">
        <fgColor rgb="FF000048"/>
        <bgColor rgb="FF000080"/>
      </patternFill>
    </fill>
    <fill>
      <patternFill patternType="solid">
        <fgColor rgb="FFFBE4D5"/>
        <bgColor rgb="FFFFF2CC"/>
      </patternFill>
    </fill>
    <fill>
      <patternFill patternType="solid">
        <fgColor rgb="FFE2EFDA"/>
        <bgColor rgb="FFDCE3F0"/>
      </patternFill>
    </fill>
    <fill>
      <patternFill patternType="solid">
        <fgColor rgb="FFDCE3F0"/>
        <bgColor rgb="FFE2EFDA"/>
      </patternFill>
    </fill>
    <fill>
      <patternFill patternType="solid">
        <fgColor rgb="FFFFF2CC"/>
        <bgColor rgb="FFFBE4D5"/>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5" fontId="5" fillId="5"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66" fontId="5" fillId="5"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right" vertical="center" textRotation="0" wrapText="false" indent="0" shrinkToFit="false"/>
      <protection locked="true" hidden="false"/>
    </xf>
    <xf numFmtId="165" fontId="5" fillId="5"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7" fontId="6" fillId="0" borderId="0" xfId="0" applyFont="true" applyBorder="false" applyAlignment="true" applyProtection="false">
      <alignment horizontal="left" vertical="bottom" textRotation="0" wrapText="false" indent="0" shrinkToFit="false"/>
      <protection locked="true" hidden="false"/>
    </xf>
    <xf numFmtId="168" fontId="6"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48"/>
      <rgbColor rgb="FF808000"/>
      <rgbColor rgb="FF800080"/>
      <rgbColor rgb="FF008080"/>
      <rgbColor rgb="FFBFBFBF"/>
      <rgbColor rgb="FF808080"/>
      <rgbColor rgb="FF9999FF"/>
      <rgbColor rgb="FF993366"/>
      <rgbColor rgb="FFFFF2CC"/>
      <rgbColor rgb="FFCCFFFF"/>
      <rgbColor rgb="FF660066"/>
      <rgbColor rgb="FFFF8080"/>
      <rgbColor rgb="FF0066CC"/>
      <rgbColor rgb="FFDCE3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BE4D5"/>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08"/>
  </cols>
  <sheetData>
    <row r="1" customFormat="false" ht="21.75" hidden="false" customHeight="true" outlineLevel="0" collapsed="false">
      <c r="A1" s="2" t="s">
        <v>0</v>
      </c>
      <c r="B1" s="2"/>
    </row>
    <row r="3" customFormat="false" ht="30" hidden="false" customHeight="true" outlineLevel="0" collapsed="false">
      <c r="A3" s="3" t="s">
        <v>1</v>
      </c>
      <c r="B3" s="4" t="s">
        <v>2</v>
      </c>
    </row>
    <row r="5" customFormat="false" ht="30" hidden="false" customHeight="true" outlineLevel="0" collapsed="false">
      <c r="A5" s="3" t="s">
        <v>3</v>
      </c>
      <c r="B5" s="4" t="s">
        <v>4</v>
      </c>
    </row>
    <row r="7" customFormat="false" ht="30" hidden="false" customHeight="true" outlineLevel="0" collapsed="false">
      <c r="A7" s="3" t="s">
        <v>5</v>
      </c>
      <c r="B7" s="4" t="s">
        <v>6</v>
      </c>
    </row>
    <row r="9" customFormat="false" ht="30" hidden="false" customHeight="true" outlineLevel="0" collapsed="false">
      <c r="A9" s="3" t="s">
        <v>7</v>
      </c>
      <c r="B9" s="4" t="s">
        <v>8</v>
      </c>
    </row>
    <row r="11" customFormat="false" ht="30" hidden="false" customHeight="true" outlineLevel="0" collapsed="false">
      <c r="A11" s="3" t="s">
        <v>9</v>
      </c>
      <c r="B11" s="4" t="s">
        <v>10</v>
      </c>
    </row>
    <row r="13" customFormat="false" ht="111.75" hidden="false" customHeight="true" outlineLevel="0" collapsed="false">
      <c r="A13" s="3" t="s">
        <v>11</v>
      </c>
      <c r="B13" s="4" t="s">
        <v>12</v>
      </c>
    </row>
    <row r="15" customFormat="false" ht="84" hidden="false" customHeight="true" outlineLevel="0" collapsed="false">
      <c r="A15" s="3" t="s">
        <v>13</v>
      </c>
      <c r="B15" s="4" t="s">
        <v>14</v>
      </c>
    </row>
    <row r="17" customFormat="false" ht="69.75" hidden="false" customHeight="true" outlineLevel="0" collapsed="false">
      <c r="A17" s="3" t="s">
        <v>15</v>
      </c>
      <c r="B17" s="4" t="s">
        <v>16</v>
      </c>
    </row>
    <row r="19" customFormat="false" ht="30" hidden="false" customHeight="true" outlineLevel="0" collapsed="false">
      <c r="A19" s="3" t="s">
        <v>17</v>
      </c>
      <c r="B19" s="4" t="s">
        <v>18</v>
      </c>
    </row>
    <row r="21" customFormat="false" ht="69.75" hidden="false" customHeight="true" outlineLevel="0" collapsed="false">
      <c r="A21" s="3" t="s">
        <v>19</v>
      </c>
      <c r="B21" s="4" t="s">
        <v>20</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6"/>
    <col collapsed="false" customWidth="true" hidden="false" outlineLevel="0" max="3" min="3" style="1" width="17"/>
    <col collapsed="false" customWidth="true" hidden="false" outlineLevel="0" max="4" min="4" style="1" width="38"/>
    <col collapsed="false" customWidth="true" hidden="false" outlineLevel="0" max="5" min="5" style="1" width="24"/>
    <col collapsed="false" customWidth="true" hidden="false" outlineLevel="0" max="6" min="6" style="1" width="46"/>
    <col collapsed="false" customWidth="true" hidden="false" outlineLevel="0" max="7" min="7" style="1" width="32"/>
    <col collapsed="false" customWidth="true" hidden="false" outlineLevel="0" max="8" min="8" style="1" width="26"/>
  </cols>
  <sheetData>
    <row r="1" customFormat="false" ht="15" hidden="false" customHeight="true" outlineLevel="0" collapsed="false">
      <c r="A1" s="5" t="s">
        <v>21</v>
      </c>
      <c r="B1" s="5" t="s">
        <v>22</v>
      </c>
      <c r="C1" s="5" t="s">
        <v>23</v>
      </c>
      <c r="D1" s="5" t="s">
        <v>24</v>
      </c>
      <c r="E1" s="5" t="s">
        <v>25</v>
      </c>
      <c r="F1" s="5" t="s">
        <v>26</v>
      </c>
      <c r="G1" s="5" t="s">
        <v>27</v>
      </c>
      <c r="H1" s="5" t="s">
        <v>28</v>
      </c>
    </row>
    <row r="2" customFormat="false" ht="67.5" hidden="false" customHeight="true" outlineLevel="0" collapsed="false">
      <c r="A2" s="4" t="s">
        <v>29</v>
      </c>
      <c r="B2" s="4" t="s">
        <v>30</v>
      </c>
      <c r="C2" s="4" t="s">
        <v>31</v>
      </c>
      <c r="D2" s="4" t="s">
        <v>32</v>
      </c>
      <c r="E2" s="4" t="s">
        <v>33</v>
      </c>
      <c r="F2" s="4" t="s">
        <v>34</v>
      </c>
      <c r="G2" s="4" t="s">
        <v>35</v>
      </c>
      <c r="H2" s="4" t="s">
        <v>36</v>
      </c>
    </row>
    <row r="3" customFormat="false" ht="97.5" hidden="false" customHeight="true" outlineLevel="0" collapsed="false">
      <c r="A3" s="4" t="s">
        <v>37</v>
      </c>
      <c r="B3" s="4" t="s">
        <v>38</v>
      </c>
      <c r="C3" s="4" t="s">
        <v>31</v>
      </c>
      <c r="D3" s="4" t="s">
        <v>39</v>
      </c>
      <c r="E3" s="4" t="s">
        <v>40</v>
      </c>
      <c r="F3" s="4" t="s">
        <v>41</v>
      </c>
      <c r="G3" s="4" t="s">
        <v>35</v>
      </c>
      <c r="H3" s="4" t="s">
        <v>42</v>
      </c>
    </row>
    <row r="4" customFormat="false" ht="67.5" hidden="false" customHeight="true" outlineLevel="0" collapsed="false">
      <c r="A4" s="6" t="s">
        <v>43</v>
      </c>
      <c r="B4" s="6" t="s">
        <v>44</v>
      </c>
      <c r="C4" s="6" t="s">
        <v>45</v>
      </c>
      <c r="D4" s="6" t="s">
        <v>46</v>
      </c>
      <c r="E4" s="6" t="s">
        <v>47</v>
      </c>
      <c r="F4" s="6" t="s">
        <v>48</v>
      </c>
      <c r="G4" s="6" t="s">
        <v>49</v>
      </c>
      <c r="H4" s="6" t="s">
        <v>50</v>
      </c>
    </row>
    <row r="5" customFormat="false" ht="82.5" hidden="false" customHeight="true" outlineLevel="0" collapsed="false">
      <c r="A5" s="4" t="s">
        <v>51</v>
      </c>
      <c r="B5" s="4" t="s">
        <v>52</v>
      </c>
      <c r="C5" s="4" t="s">
        <v>53</v>
      </c>
      <c r="D5" s="4" t="s">
        <v>54</v>
      </c>
      <c r="E5" s="4" t="s">
        <v>55</v>
      </c>
      <c r="F5" s="4" t="s">
        <v>56</v>
      </c>
      <c r="G5" s="4" t="s">
        <v>57</v>
      </c>
      <c r="H5" s="4" t="s">
        <v>58</v>
      </c>
    </row>
    <row r="6" customFormat="false" ht="67.5" hidden="false" customHeight="true" outlineLevel="0" collapsed="false">
      <c r="A6" s="4" t="s">
        <v>59</v>
      </c>
      <c r="B6" s="4" t="s">
        <v>60</v>
      </c>
      <c r="C6" s="4" t="s">
        <v>31</v>
      </c>
      <c r="D6" s="4" t="s">
        <v>61</v>
      </c>
      <c r="E6" s="4" t="s">
        <v>62</v>
      </c>
      <c r="F6" s="4" t="s">
        <v>63</v>
      </c>
      <c r="G6" s="4" t="s">
        <v>35</v>
      </c>
      <c r="H6" s="4" t="s">
        <v>64</v>
      </c>
    </row>
    <row r="7" customFormat="false" ht="37.5" hidden="false" customHeight="true" outlineLevel="0" collapsed="false">
      <c r="A7" s="7" t="s">
        <v>65</v>
      </c>
      <c r="B7" s="7" t="s">
        <v>66</v>
      </c>
      <c r="C7" s="7" t="s">
        <v>67</v>
      </c>
      <c r="D7" s="7" t="s">
        <v>68</v>
      </c>
      <c r="E7" s="7" t="s">
        <v>69</v>
      </c>
      <c r="F7" s="7" t="s">
        <v>70</v>
      </c>
      <c r="G7" s="7" t="s">
        <v>49</v>
      </c>
      <c r="H7" s="7" t="s">
        <v>71</v>
      </c>
    </row>
    <row r="8" customFormat="false" ht="82.5" hidden="false" customHeight="true" outlineLevel="0" collapsed="false">
      <c r="A8" s="4" t="s">
        <v>72</v>
      </c>
      <c r="B8" s="4" t="s">
        <v>73</v>
      </c>
      <c r="C8" s="4" t="s">
        <v>31</v>
      </c>
      <c r="D8" s="4" t="s">
        <v>74</v>
      </c>
      <c r="E8" s="4" t="s">
        <v>75</v>
      </c>
      <c r="F8" s="4" t="s">
        <v>76</v>
      </c>
      <c r="G8" s="4" t="s">
        <v>77</v>
      </c>
      <c r="H8" s="4" t="s">
        <v>78</v>
      </c>
    </row>
    <row r="9" customFormat="false" ht="97.5" hidden="false" customHeight="true" outlineLevel="0" collapsed="false">
      <c r="A9" s="4" t="s">
        <v>79</v>
      </c>
      <c r="B9" s="4" t="s">
        <v>80</v>
      </c>
      <c r="C9" s="4" t="s">
        <v>31</v>
      </c>
      <c r="D9" s="4" t="s">
        <v>81</v>
      </c>
      <c r="E9" s="4" t="s">
        <v>82</v>
      </c>
      <c r="F9" s="4" t="s">
        <v>83</v>
      </c>
      <c r="G9" s="4" t="s">
        <v>57</v>
      </c>
      <c r="H9" s="4" t="s">
        <v>84</v>
      </c>
    </row>
    <row r="10" customFormat="false" ht="97.5" hidden="false" customHeight="true" outlineLevel="0" collapsed="false">
      <c r="A10" s="4" t="s">
        <v>85</v>
      </c>
      <c r="B10" s="4" t="s">
        <v>86</v>
      </c>
      <c r="C10" s="4" t="s">
        <v>31</v>
      </c>
      <c r="D10" s="4" t="s">
        <v>87</v>
      </c>
      <c r="E10" s="4" t="s">
        <v>88</v>
      </c>
      <c r="F10" s="4" t="s">
        <v>89</v>
      </c>
      <c r="G10" s="4" t="s">
        <v>90</v>
      </c>
      <c r="H10" s="4" t="s">
        <v>91</v>
      </c>
    </row>
    <row r="11" customFormat="false" ht="97.5" hidden="false" customHeight="true" outlineLevel="0" collapsed="false">
      <c r="A11" s="4" t="s">
        <v>92</v>
      </c>
      <c r="B11" s="4" t="s">
        <v>93</v>
      </c>
      <c r="C11" s="4" t="s">
        <v>53</v>
      </c>
      <c r="D11" s="4" t="s">
        <v>94</v>
      </c>
      <c r="E11" s="4" t="s">
        <v>95</v>
      </c>
      <c r="F11" s="4" t="s">
        <v>96</v>
      </c>
      <c r="G11" s="4" t="s">
        <v>35</v>
      </c>
      <c r="H11" s="4" t="s">
        <v>97</v>
      </c>
    </row>
    <row r="12" customFormat="false" ht="52.5" hidden="false" customHeight="true" outlineLevel="0" collapsed="false">
      <c r="A12" s="7" t="s">
        <v>98</v>
      </c>
      <c r="B12" s="7" t="s">
        <v>99</v>
      </c>
      <c r="C12" s="7" t="s">
        <v>100</v>
      </c>
      <c r="D12" s="7" t="s">
        <v>101</v>
      </c>
      <c r="E12" s="7" t="s">
        <v>102</v>
      </c>
      <c r="F12" s="7" t="s">
        <v>103</v>
      </c>
      <c r="G12" s="7" t="s">
        <v>49</v>
      </c>
      <c r="H12" s="7" t="s">
        <v>104</v>
      </c>
    </row>
    <row r="13" customFormat="false" ht="97.5" hidden="false" customHeight="true" outlineLevel="0" collapsed="false">
      <c r="A13" s="7" t="s">
        <v>105</v>
      </c>
      <c r="B13" s="7" t="s">
        <v>106</v>
      </c>
      <c r="C13" s="7" t="s">
        <v>107</v>
      </c>
      <c r="D13" s="7" t="s">
        <v>108</v>
      </c>
      <c r="E13" s="7" t="s">
        <v>109</v>
      </c>
      <c r="F13" s="7" t="s">
        <v>110</v>
      </c>
      <c r="G13" s="7" t="s">
        <v>111</v>
      </c>
      <c r="H13" s="7" t="s">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6"/>
    <col collapsed="false" customWidth="true" hidden="false" outlineLevel="0" max="3" min="3" style="1" width="46"/>
    <col collapsed="false" customWidth="true" hidden="false" outlineLevel="0" max="4" min="4" style="1" width="24"/>
    <col collapsed="false" customWidth="true" hidden="false" outlineLevel="0" max="5" min="5" style="1" width="13"/>
    <col collapsed="false" customWidth="true" hidden="false" outlineLevel="0" max="6" min="6" style="1" width="9"/>
    <col collapsed="false" customWidth="true" hidden="false" outlineLevel="0" max="7" min="7" style="1" width="14"/>
    <col collapsed="false" customWidth="true" hidden="false" outlineLevel="0" max="9" min="8" style="1" width="12"/>
  </cols>
  <sheetData>
    <row r="1" customFormat="false" ht="43.5" hidden="false" customHeight="true" outlineLevel="0" collapsed="false">
      <c r="A1" s="5" t="s">
        <v>22</v>
      </c>
      <c r="B1" s="5" t="s">
        <v>113</v>
      </c>
      <c r="C1" s="5" t="s">
        <v>114</v>
      </c>
      <c r="D1" s="5" t="s">
        <v>115</v>
      </c>
      <c r="E1" s="5" t="s">
        <v>116</v>
      </c>
      <c r="F1" s="5" t="s">
        <v>117</v>
      </c>
      <c r="G1" s="5" t="s">
        <v>118</v>
      </c>
      <c r="H1" s="5" t="s">
        <v>119</v>
      </c>
      <c r="I1" s="5" t="s">
        <v>120</v>
      </c>
    </row>
    <row r="2" customFormat="false" ht="15.75" hidden="false" customHeight="true" outlineLevel="0" collapsed="false">
      <c r="A2" s="4" t="s">
        <v>121</v>
      </c>
      <c r="B2" s="4" t="s">
        <v>122</v>
      </c>
      <c r="C2" s="4" t="s">
        <v>123</v>
      </c>
      <c r="D2" s="4" t="s">
        <v>124</v>
      </c>
      <c r="E2" s="8" t="n">
        <v>18</v>
      </c>
      <c r="F2" s="4"/>
      <c r="G2" s="4" t="s">
        <v>125</v>
      </c>
      <c r="H2" s="9" t="n">
        <f aca="false">SUM(E2:E3)</f>
        <v>30</v>
      </c>
      <c r="I2" s="10" t="s">
        <v>29</v>
      </c>
    </row>
    <row r="3" customFormat="false" ht="15.75" hidden="false" customHeight="true" outlineLevel="0" collapsed="false">
      <c r="A3" s="4"/>
      <c r="B3" s="4" t="s">
        <v>122</v>
      </c>
      <c r="C3" s="4" t="s">
        <v>126</v>
      </c>
      <c r="D3" s="4" t="s">
        <v>124</v>
      </c>
      <c r="E3" s="8" t="n">
        <v>12</v>
      </c>
      <c r="F3" s="4"/>
      <c r="G3" s="4" t="s">
        <v>125</v>
      </c>
      <c r="H3" s="9"/>
      <c r="I3" s="9"/>
    </row>
    <row r="4" customFormat="false" ht="15.75" hidden="false" customHeight="true" outlineLevel="0" collapsed="false">
      <c r="A4" s="4" t="s">
        <v>127</v>
      </c>
      <c r="B4" s="4" t="s">
        <v>128</v>
      </c>
      <c r="C4" s="4" t="s">
        <v>129</v>
      </c>
      <c r="D4" s="4" t="s">
        <v>124</v>
      </c>
      <c r="E4" s="8" t="n">
        <v>10</v>
      </c>
      <c r="F4" s="4"/>
      <c r="G4" s="4" t="s">
        <v>125</v>
      </c>
      <c r="H4" s="9" t="n">
        <f aca="false">SUM(E4:E7)</f>
        <v>30</v>
      </c>
      <c r="I4" s="10" t="s">
        <v>37</v>
      </c>
    </row>
    <row r="5" customFormat="false" ht="15.75" hidden="false" customHeight="true" outlineLevel="0" collapsed="false">
      <c r="A5" s="4"/>
      <c r="B5" s="4" t="s">
        <v>130</v>
      </c>
      <c r="C5" s="4" t="s">
        <v>131</v>
      </c>
      <c r="D5" s="4" t="s">
        <v>124</v>
      </c>
      <c r="E5" s="8" t="n">
        <v>8</v>
      </c>
      <c r="F5" s="4"/>
      <c r="G5" s="4" t="s">
        <v>125</v>
      </c>
      <c r="H5" s="9"/>
      <c r="I5" s="9"/>
    </row>
    <row r="6" customFormat="false" ht="15.75" hidden="false" customHeight="true" outlineLevel="0" collapsed="false">
      <c r="A6" s="4"/>
      <c r="B6" s="4" t="s">
        <v>132</v>
      </c>
      <c r="C6" s="4" t="s">
        <v>133</v>
      </c>
      <c r="D6" s="4" t="s">
        <v>134</v>
      </c>
      <c r="E6" s="8" t="n">
        <v>7</v>
      </c>
      <c r="F6" s="4"/>
      <c r="G6" s="4" t="s">
        <v>135</v>
      </c>
      <c r="H6" s="9"/>
      <c r="I6" s="9"/>
    </row>
    <row r="7" customFormat="false" ht="15.75" hidden="false" customHeight="true" outlineLevel="0" collapsed="false">
      <c r="A7" s="4"/>
      <c r="B7" s="4" t="s">
        <v>128</v>
      </c>
      <c r="C7" s="4" t="s">
        <v>136</v>
      </c>
      <c r="D7" s="4" t="s">
        <v>124</v>
      </c>
      <c r="E7" s="8" t="n">
        <v>5</v>
      </c>
      <c r="F7" s="4"/>
      <c r="G7" s="4" t="s">
        <v>125</v>
      </c>
      <c r="H7" s="9"/>
      <c r="I7" s="9"/>
    </row>
    <row r="8" customFormat="false" ht="15.75" hidden="false" customHeight="true" outlineLevel="0" collapsed="false">
      <c r="A8" s="6" t="s">
        <v>137</v>
      </c>
      <c r="B8" s="6" t="s">
        <v>138</v>
      </c>
      <c r="C8" s="6" t="s">
        <v>139</v>
      </c>
      <c r="D8" s="6" t="s">
        <v>140</v>
      </c>
      <c r="E8" s="11" t="n">
        <v>4</v>
      </c>
      <c r="F8" s="6"/>
      <c r="G8" s="6" t="s">
        <v>125</v>
      </c>
      <c r="H8" s="9" t="n">
        <f aca="false">SUM(E8:E8)</f>
        <v>4</v>
      </c>
      <c r="I8" s="10" t="s">
        <v>43</v>
      </c>
    </row>
    <row r="9" customFormat="false" ht="15.75" hidden="false" customHeight="true" outlineLevel="0" collapsed="false">
      <c r="A9" s="4" t="s">
        <v>141</v>
      </c>
      <c r="B9" s="4" t="s">
        <v>142</v>
      </c>
      <c r="C9" s="4" t="s">
        <v>143</v>
      </c>
      <c r="D9" s="4" t="s">
        <v>124</v>
      </c>
      <c r="E9" s="8" t="n">
        <v>10</v>
      </c>
      <c r="F9" s="4"/>
      <c r="G9" s="4" t="s">
        <v>125</v>
      </c>
      <c r="H9" s="9" t="n">
        <f aca="false">SUM(E9:E13)</f>
        <v>45</v>
      </c>
      <c r="I9" s="10" t="s">
        <v>51</v>
      </c>
    </row>
    <row r="10" customFormat="false" ht="15.75" hidden="false" customHeight="true" outlineLevel="0" collapsed="false">
      <c r="A10" s="4"/>
      <c r="B10" s="4" t="s">
        <v>142</v>
      </c>
      <c r="C10" s="4" t="s">
        <v>144</v>
      </c>
      <c r="D10" s="4" t="s">
        <v>124</v>
      </c>
      <c r="E10" s="8" t="n">
        <v>12</v>
      </c>
      <c r="F10" s="4"/>
      <c r="G10" s="4" t="s">
        <v>125</v>
      </c>
      <c r="H10" s="9"/>
      <c r="I10" s="9"/>
    </row>
    <row r="11" customFormat="false" ht="15.75" hidden="false" customHeight="true" outlineLevel="0" collapsed="false">
      <c r="A11" s="4"/>
      <c r="B11" s="4" t="s">
        <v>142</v>
      </c>
      <c r="C11" s="4" t="s">
        <v>145</v>
      </c>
      <c r="D11" s="4" t="s">
        <v>124</v>
      </c>
      <c r="E11" s="8" t="n">
        <v>11</v>
      </c>
      <c r="F11" s="4"/>
      <c r="G11" s="4" t="s">
        <v>125</v>
      </c>
      <c r="H11" s="9"/>
      <c r="I11" s="9"/>
    </row>
    <row r="12" customFormat="false" ht="15.75" hidden="false" customHeight="true" outlineLevel="0" collapsed="false">
      <c r="A12" s="4"/>
      <c r="B12" s="4" t="s">
        <v>142</v>
      </c>
      <c r="C12" s="4" t="s">
        <v>146</v>
      </c>
      <c r="D12" s="4" t="s">
        <v>124</v>
      </c>
      <c r="E12" s="8" t="n">
        <v>7</v>
      </c>
      <c r="F12" s="4"/>
      <c r="G12" s="4" t="s">
        <v>125</v>
      </c>
      <c r="H12" s="9"/>
      <c r="I12" s="9"/>
    </row>
    <row r="13" customFormat="false" ht="15.75" hidden="false" customHeight="true" outlineLevel="0" collapsed="false">
      <c r="A13" s="4"/>
      <c r="B13" s="4" t="s">
        <v>142</v>
      </c>
      <c r="C13" s="4" t="s">
        <v>147</v>
      </c>
      <c r="D13" s="4" t="s">
        <v>124</v>
      </c>
      <c r="E13" s="8" t="n">
        <v>5</v>
      </c>
      <c r="F13" s="4"/>
      <c r="G13" s="4" t="s">
        <v>125</v>
      </c>
      <c r="H13" s="9"/>
      <c r="I13" s="9"/>
    </row>
    <row r="14" customFormat="false" ht="15.75" hidden="false" customHeight="true" outlineLevel="0" collapsed="false">
      <c r="A14" s="4" t="s">
        <v>148</v>
      </c>
      <c r="B14" s="4" t="s">
        <v>62</v>
      </c>
      <c r="C14" s="4" t="s">
        <v>149</v>
      </c>
      <c r="D14" s="4" t="s">
        <v>124</v>
      </c>
      <c r="E14" s="8" t="n">
        <v>18</v>
      </c>
      <c r="F14" s="4"/>
      <c r="G14" s="4" t="s">
        <v>125</v>
      </c>
      <c r="H14" s="9" t="n">
        <f aca="false">SUM(E14:E15)</f>
        <v>30</v>
      </c>
      <c r="I14" s="10" t="s">
        <v>59</v>
      </c>
    </row>
    <row r="15" customFormat="false" ht="15.75" hidden="false" customHeight="true" outlineLevel="0" collapsed="false">
      <c r="A15" s="4"/>
      <c r="B15" s="4" t="s">
        <v>69</v>
      </c>
      <c r="C15" s="4" t="s">
        <v>150</v>
      </c>
      <c r="D15" s="4" t="s">
        <v>151</v>
      </c>
      <c r="E15" s="8" t="n">
        <v>12</v>
      </c>
      <c r="F15" s="4"/>
      <c r="G15" s="4" t="s">
        <v>135</v>
      </c>
      <c r="H15" s="9"/>
      <c r="I15" s="9"/>
    </row>
    <row r="16" customFormat="false" ht="15.75" hidden="false" customHeight="true" outlineLevel="0" collapsed="false">
      <c r="A16" s="7" t="s">
        <v>152</v>
      </c>
      <c r="B16" s="7" t="s">
        <v>66</v>
      </c>
      <c r="C16" s="7" t="s">
        <v>153</v>
      </c>
      <c r="D16" s="7" t="s">
        <v>154</v>
      </c>
      <c r="E16" s="12" t="n">
        <v>3</v>
      </c>
      <c r="F16" s="7"/>
      <c r="G16" s="7" t="s">
        <v>125</v>
      </c>
      <c r="H16" s="9" t="n">
        <f aca="false">SUM(E16:E16)</f>
        <v>3</v>
      </c>
      <c r="I16" s="10" t="s">
        <v>65</v>
      </c>
    </row>
    <row r="17" customFormat="false" ht="15.75" hidden="false" customHeight="true" outlineLevel="0" collapsed="false">
      <c r="A17" s="4" t="s">
        <v>155</v>
      </c>
      <c r="B17" s="4" t="s">
        <v>156</v>
      </c>
      <c r="C17" s="4" t="s">
        <v>157</v>
      </c>
      <c r="D17" s="4" t="s">
        <v>124</v>
      </c>
      <c r="E17" s="8" t="n">
        <v>10</v>
      </c>
      <c r="F17" s="4"/>
      <c r="G17" s="4" t="s">
        <v>125</v>
      </c>
      <c r="H17" s="9" t="n">
        <f aca="false">SUM(E17:E19)</f>
        <v>30</v>
      </c>
      <c r="I17" s="10" t="s">
        <v>72</v>
      </c>
    </row>
    <row r="18" customFormat="false" ht="15.75" hidden="false" customHeight="true" outlineLevel="0" collapsed="false">
      <c r="A18" s="4"/>
      <c r="B18" s="4" t="s">
        <v>156</v>
      </c>
      <c r="C18" s="4" t="s">
        <v>158</v>
      </c>
      <c r="D18" s="4" t="s">
        <v>124</v>
      </c>
      <c r="E18" s="8" t="n">
        <v>8</v>
      </c>
      <c r="F18" s="4"/>
      <c r="G18" s="4" t="s">
        <v>125</v>
      </c>
      <c r="H18" s="9"/>
      <c r="I18" s="9"/>
    </row>
    <row r="19" customFormat="false" ht="15.75" hidden="false" customHeight="true" outlineLevel="0" collapsed="false">
      <c r="A19" s="4"/>
      <c r="B19" s="4" t="s">
        <v>159</v>
      </c>
      <c r="C19" s="4" t="s">
        <v>160</v>
      </c>
      <c r="D19" s="4" t="s">
        <v>124</v>
      </c>
      <c r="E19" s="8" t="n">
        <v>12</v>
      </c>
      <c r="F19" s="4"/>
      <c r="G19" s="4" t="s">
        <v>125</v>
      </c>
      <c r="H19" s="9"/>
      <c r="I19" s="9"/>
    </row>
    <row r="20" customFormat="false" ht="15.75" hidden="false" customHeight="true" outlineLevel="0" collapsed="false">
      <c r="A20" s="4" t="s">
        <v>161</v>
      </c>
      <c r="B20" s="4" t="s">
        <v>82</v>
      </c>
      <c r="C20" s="4" t="s">
        <v>162</v>
      </c>
      <c r="D20" s="4" t="s">
        <v>124</v>
      </c>
      <c r="E20" s="8" t="n">
        <v>16</v>
      </c>
      <c r="F20" s="4"/>
      <c r="G20" s="4" t="s">
        <v>125</v>
      </c>
      <c r="H20" s="9" t="n">
        <f aca="false">SUM(E20:E21)</f>
        <v>30</v>
      </c>
      <c r="I20" s="10" t="s">
        <v>79</v>
      </c>
    </row>
    <row r="21" customFormat="false" ht="15.75" hidden="false" customHeight="true" outlineLevel="0" collapsed="false">
      <c r="A21" s="4"/>
      <c r="B21" s="4" t="s">
        <v>82</v>
      </c>
      <c r="C21" s="4" t="s">
        <v>163</v>
      </c>
      <c r="D21" s="4" t="s">
        <v>124</v>
      </c>
      <c r="E21" s="8" t="n">
        <v>14</v>
      </c>
      <c r="F21" s="4"/>
      <c r="G21" s="4" t="s">
        <v>125</v>
      </c>
      <c r="H21" s="9"/>
      <c r="I21" s="9"/>
    </row>
    <row r="22" customFormat="false" ht="15.75" hidden="false" customHeight="true" outlineLevel="0" collapsed="false">
      <c r="A22" s="4" t="s">
        <v>164</v>
      </c>
      <c r="B22" s="4" t="s">
        <v>165</v>
      </c>
      <c r="C22" s="4" t="s">
        <v>166</v>
      </c>
      <c r="D22" s="4" t="s">
        <v>167</v>
      </c>
      <c r="E22" s="8" t="n">
        <v>15</v>
      </c>
      <c r="F22" s="4"/>
      <c r="G22" s="4" t="s">
        <v>125</v>
      </c>
      <c r="H22" s="9" t="n">
        <f aca="false">SUM(E22:E23)</f>
        <v>30</v>
      </c>
      <c r="I22" s="10" t="s">
        <v>85</v>
      </c>
    </row>
    <row r="23" customFormat="false" ht="15.75" hidden="false" customHeight="true" outlineLevel="0" collapsed="false">
      <c r="A23" s="4"/>
      <c r="B23" s="4" t="s">
        <v>168</v>
      </c>
      <c r="C23" s="4" t="s">
        <v>169</v>
      </c>
      <c r="D23" s="4" t="s">
        <v>167</v>
      </c>
      <c r="E23" s="8" t="n">
        <v>15</v>
      </c>
      <c r="F23" s="4"/>
      <c r="G23" s="4" t="s">
        <v>125</v>
      </c>
      <c r="H23" s="9"/>
      <c r="I23" s="9"/>
    </row>
    <row r="24" customFormat="false" ht="15.75" hidden="false" customHeight="true" outlineLevel="0" collapsed="false">
      <c r="A24" s="4" t="s">
        <v>170</v>
      </c>
      <c r="B24" s="4" t="s">
        <v>95</v>
      </c>
      <c r="C24" s="4" t="s">
        <v>171</v>
      </c>
      <c r="D24" s="4" t="s">
        <v>172</v>
      </c>
      <c r="E24" s="8" t="n">
        <v>15</v>
      </c>
      <c r="F24" s="4"/>
      <c r="G24" s="4" t="s">
        <v>125</v>
      </c>
      <c r="H24" s="9" t="n">
        <f aca="false">SUM(E24:E27)</f>
        <v>45</v>
      </c>
      <c r="I24" s="10" t="s">
        <v>92</v>
      </c>
    </row>
    <row r="25" customFormat="false" ht="15.75" hidden="false" customHeight="true" outlineLevel="0" collapsed="false">
      <c r="A25" s="4"/>
      <c r="B25" s="4" t="s">
        <v>95</v>
      </c>
      <c r="C25" s="4" t="s">
        <v>173</v>
      </c>
      <c r="D25" s="4" t="s">
        <v>172</v>
      </c>
      <c r="E25" s="8" t="n">
        <v>12</v>
      </c>
      <c r="F25" s="4"/>
      <c r="G25" s="4" t="s">
        <v>125</v>
      </c>
      <c r="H25" s="9"/>
      <c r="I25" s="9"/>
    </row>
    <row r="26" customFormat="false" ht="15.75" hidden="false" customHeight="true" outlineLevel="0" collapsed="false">
      <c r="A26" s="4"/>
      <c r="B26" s="4" t="s">
        <v>174</v>
      </c>
      <c r="C26" s="4" t="s">
        <v>175</v>
      </c>
      <c r="D26" s="4" t="s">
        <v>172</v>
      </c>
      <c r="E26" s="8" t="n">
        <v>6</v>
      </c>
      <c r="F26" s="4"/>
      <c r="G26" s="4" t="s">
        <v>125</v>
      </c>
      <c r="H26" s="9"/>
      <c r="I26" s="9"/>
    </row>
    <row r="27" customFormat="false" ht="15.75" hidden="false" customHeight="true" outlineLevel="0" collapsed="false">
      <c r="A27" s="4"/>
      <c r="B27" s="4" t="s">
        <v>176</v>
      </c>
      <c r="C27" s="4" t="s">
        <v>177</v>
      </c>
      <c r="D27" s="4" t="s">
        <v>178</v>
      </c>
      <c r="E27" s="8" t="n">
        <v>12</v>
      </c>
      <c r="F27" s="4"/>
      <c r="G27" s="4" t="s">
        <v>125</v>
      </c>
      <c r="H27" s="9"/>
      <c r="I27" s="9"/>
    </row>
    <row r="28" customFormat="false" ht="15.75" hidden="false" customHeight="true" outlineLevel="0" collapsed="false">
      <c r="A28" s="7" t="s">
        <v>152</v>
      </c>
      <c r="B28" s="7" t="s">
        <v>99</v>
      </c>
      <c r="C28" s="7" t="s">
        <v>179</v>
      </c>
      <c r="D28" s="7" t="s">
        <v>180</v>
      </c>
      <c r="E28" s="12" t="n">
        <v>6</v>
      </c>
      <c r="F28" s="7"/>
      <c r="G28" s="7" t="s">
        <v>125</v>
      </c>
      <c r="H28" s="9" t="n">
        <f aca="false">SUM(E28:E28)</f>
        <v>6</v>
      </c>
      <c r="I28" s="10" t="s">
        <v>98</v>
      </c>
    </row>
    <row r="29" customFormat="false" ht="15.75" hidden="false" customHeight="true" outlineLevel="0" collapsed="false">
      <c r="A29" s="7" t="s">
        <v>181</v>
      </c>
      <c r="B29" s="7" t="s">
        <v>176</v>
      </c>
      <c r="C29" s="7" t="s">
        <v>182</v>
      </c>
      <c r="D29" s="7" t="s">
        <v>178</v>
      </c>
      <c r="E29" s="12" t="n">
        <v>40</v>
      </c>
      <c r="F29" s="7"/>
      <c r="G29" s="7" t="s">
        <v>125</v>
      </c>
      <c r="H29" s="9" t="n">
        <f aca="false">SUM(E29:E31)</f>
        <v>60</v>
      </c>
      <c r="I29" s="10" t="s">
        <v>105</v>
      </c>
    </row>
    <row r="30" customFormat="false" ht="15.75" hidden="false" customHeight="true" outlineLevel="0" collapsed="false">
      <c r="A30" s="7"/>
      <c r="B30" s="7" t="s">
        <v>183</v>
      </c>
      <c r="C30" s="7" t="s">
        <v>184</v>
      </c>
      <c r="D30" s="7" t="s">
        <v>140</v>
      </c>
      <c r="E30" s="12" t="n">
        <v>6</v>
      </c>
      <c r="F30" s="7"/>
      <c r="G30" s="7" t="s">
        <v>135</v>
      </c>
      <c r="H30" s="9"/>
      <c r="I30" s="9"/>
    </row>
    <row r="31" customFormat="false" ht="15.75" hidden="false" customHeight="true" outlineLevel="0" collapsed="false">
      <c r="A31" s="7"/>
      <c r="B31" s="7" t="s">
        <v>185</v>
      </c>
      <c r="C31" s="7" t="s">
        <v>186</v>
      </c>
      <c r="D31" s="7" t="s">
        <v>140</v>
      </c>
      <c r="E31" s="12" t="n">
        <v>14</v>
      </c>
      <c r="F31" s="7"/>
      <c r="G31" s="7" t="s">
        <v>125</v>
      </c>
      <c r="H31" s="9"/>
      <c r="I31" s="9"/>
    </row>
    <row r="32" customFormat="false" ht="27.75" hidden="false" customHeight="true" outlineLevel="0" collapsed="false">
      <c r="A32" s="13" t="s">
        <v>187</v>
      </c>
      <c r="B32" s="13"/>
      <c r="C32" s="13"/>
      <c r="D32" s="13"/>
      <c r="E32" s="14" t="n">
        <f aca="false">SUM(E2:E31)</f>
        <v>343</v>
      </c>
      <c r="F32" s="13"/>
      <c r="G32" s="13"/>
      <c r="H32" s="14" t="n">
        <f aca="false">SUM(H2,H4,H8,H9,H14,H16,H17,H20,H22,H24,H28,H29)</f>
        <v>343</v>
      </c>
      <c r="I32" s="14" t="s">
        <v>188</v>
      </c>
    </row>
    <row r="34" customFormat="false" ht="42" hidden="false" customHeight="true" outlineLevel="0" collapsed="false">
      <c r="A34" s="15" t="s">
        <v>189</v>
      </c>
      <c r="B34" s="15"/>
      <c r="C34" s="15"/>
      <c r="D34" s="15"/>
      <c r="E34" s="15"/>
      <c r="F34" s="15"/>
      <c r="G34" s="15"/>
      <c r="H34" s="15"/>
      <c r="I34" s="15"/>
    </row>
  </sheetData>
  <mergeCells count="28">
    <mergeCell ref="A2:A3"/>
    <mergeCell ref="H2:H3"/>
    <mergeCell ref="I2:I3"/>
    <mergeCell ref="A4:A7"/>
    <mergeCell ref="H4:H7"/>
    <mergeCell ref="I4:I7"/>
    <mergeCell ref="A9:A13"/>
    <mergeCell ref="H9:H13"/>
    <mergeCell ref="I9:I13"/>
    <mergeCell ref="A14:A15"/>
    <mergeCell ref="H14:H15"/>
    <mergeCell ref="I14:I15"/>
    <mergeCell ref="A17:A19"/>
    <mergeCell ref="H17:H19"/>
    <mergeCell ref="I17:I19"/>
    <mergeCell ref="A20:A21"/>
    <mergeCell ref="H20:H21"/>
    <mergeCell ref="I20:I21"/>
    <mergeCell ref="A22:A23"/>
    <mergeCell ref="H22:H23"/>
    <mergeCell ref="I22:I23"/>
    <mergeCell ref="A24:A27"/>
    <mergeCell ref="H24:H27"/>
    <mergeCell ref="I24:I27"/>
    <mergeCell ref="A29:A31"/>
    <mergeCell ref="H29:H31"/>
    <mergeCell ref="I29:I31"/>
    <mergeCell ref="A34:I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16"/>
    <col collapsed="false" customWidth="true" hidden="false" outlineLevel="0" max="3" min="3" style="1" width="13"/>
  </cols>
  <sheetData>
    <row r="1" customFormat="false" ht="29.25" hidden="false" customHeight="true" outlineLevel="0" collapsed="false">
      <c r="A1" s="5" t="s">
        <v>22</v>
      </c>
      <c r="B1" s="5" t="s">
        <v>190</v>
      </c>
      <c r="C1" s="5" t="s">
        <v>191</v>
      </c>
    </row>
    <row r="2" customFormat="false" ht="82.5" hidden="false" customHeight="true" outlineLevel="0" collapsed="false">
      <c r="A2" s="4" t="s">
        <v>121</v>
      </c>
      <c r="B2" s="4" t="s">
        <v>192</v>
      </c>
      <c r="C2" s="16"/>
    </row>
    <row r="3" customFormat="false" ht="82.5" hidden="false" customHeight="true" outlineLevel="0" collapsed="false">
      <c r="A3" s="4" t="s">
        <v>127</v>
      </c>
      <c r="B3" s="4" t="s">
        <v>193</v>
      </c>
      <c r="C3" s="16"/>
    </row>
    <row r="4" customFormat="false" ht="97.5" hidden="false" customHeight="true" outlineLevel="0" collapsed="false">
      <c r="A4" s="4" t="s">
        <v>141</v>
      </c>
      <c r="B4" s="4" t="s">
        <v>194</v>
      </c>
      <c r="C4" s="16"/>
    </row>
    <row r="5" customFormat="false" ht="82.5" hidden="false" customHeight="true" outlineLevel="0" collapsed="false">
      <c r="A5" s="4" t="s">
        <v>148</v>
      </c>
      <c r="B5" s="4" t="s">
        <v>195</v>
      </c>
      <c r="C5" s="16"/>
    </row>
    <row r="6" customFormat="false" ht="97.5" hidden="false" customHeight="true" outlineLevel="0" collapsed="false">
      <c r="A6" s="4" t="s">
        <v>155</v>
      </c>
      <c r="B6" s="4" t="s">
        <v>196</v>
      </c>
      <c r="C6" s="16"/>
    </row>
    <row r="7" customFormat="false" ht="97.5" hidden="false" customHeight="true" outlineLevel="0" collapsed="false">
      <c r="A7" s="4" t="s">
        <v>161</v>
      </c>
      <c r="B7" s="4" t="s">
        <v>197</v>
      </c>
      <c r="C7" s="16"/>
    </row>
    <row r="8" customFormat="false" ht="97.5" hidden="false" customHeight="true" outlineLevel="0" collapsed="false">
      <c r="A8" s="4" t="s">
        <v>164</v>
      </c>
      <c r="B8" s="4" t="s">
        <v>198</v>
      </c>
      <c r="C8" s="16"/>
    </row>
    <row r="9" customFormat="false" ht="97.5" hidden="false" customHeight="true" outlineLevel="0" collapsed="false">
      <c r="A9" s="4" t="s">
        <v>170</v>
      </c>
      <c r="B9" s="4" t="s">
        <v>199</v>
      </c>
      <c r="C9" s="16"/>
    </row>
    <row r="10" customFormat="false" ht="67.5" hidden="false" customHeight="true" outlineLevel="0" collapsed="false">
      <c r="A10" s="4" t="s">
        <v>181</v>
      </c>
      <c r="B10" s="4" t="s">
        <v>200</v>
      </c>
      <c r="C10" s="16"/>
    </row>
    <row r="11" customFormat="false" ht="15" hidden="false" customHeight="true" outlineLevel="0" collapsed="false">
      <c r="A11" s="13" t="s">
        <v>201</v>
      </c>
      <c r="B11" s="13"/>
      <c r="C11" s="17" t="str">
        <f aca="false">IFERROR(AVERAGE(C2:C10),"")</f>
        <v/>
      </c>
    </row>
    <row r="13" customFormat="false" ht="15" hidden="false" customHeight="true" outlineLevel="0" collapsed="false">
      <c r="A13" s="18" t="s">
        <v>202</v>
      </c>
      <c r="B13" s="18"/>
      <c r="C13" s="18"/>
    </row>
  </sheetData>
  <mergeCells count="1">
    <mergeCell ref="A13:C13"/>
  </mergeCells>
  <dataValidations count="1">
    <dataValidation allowBlank="true" error="Enter a whole number from 1 to 5." errorStyle="stop" errorTitle="Score 1-5" operator="between" showDropDown="false" showErrorMessage="true" showInputMessage="false" sqref="C2:C10"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34"/>
    <col collapsed="false" customWidth="true" hidden="false" outlineLevel="0" max="3" min="3" style="1" width="96"/>
    <col collapsed="false" customWidth="true" hidden="false" outlineLevel="0" max="4" min="4" style="1" width="14"/>
  </cols>
  <sheetData>
    <row r="1" customFormat="false" ht="15" hidden="false" customHeight="true" outlineLevel="0" collapsed="false">
      <c r="A1" s="5" t="s">
        <v>114</v>
      </c>
      <c r="B1" s="5" t="s">
        <v>203</v>
      </c>
      <c r="C1" s="5" t="s">
        <v>204</v>
      </c>
      <c r="D1" s="5" t="s">
        <v>205</v>
      </c>
    </row>
    <row r="2" customFormat="false" ht="30" hidden="false" customHeight="true" outlineLevel="0" collapsed="false">
      <c r="A2" s="3" t="s">
        <v>123</v>
      </c>
      <c r="B2" s="4" t="s">
        <v>206</v>
      </c>
      <c r="C2" s="4" t="s">
        <v>207</v>
      </c>
      <c r="D2" s="16"/>
    </row>
    <row r="3" customFormat="false" ht="30" hidden="false" customHeight="true" outlineLevel="0" collapsed="false">
      <c r="A3" s="3"/>
      <c r="B3" s="4" t="s">
        <v>208</v>
      </c>
      <c r="C3" s="4" t="s">
        <v>209</v>
      </c>
      <c r="D3" s="16"/>
    </row>
    <row r="4" customFormat="false" ht="30" hidden="false" customHeight="true" outlineLevel="0" collapsed="false">
      <c r="A4" s="3"/>
      <c r="B4" s="4" t="s">
        <v>210</v>
      </c>
      <c r="C4" s="4" t="s">
        <v>211</v>
      </c>
      <c r="D4" s="16"/>
    </row>
    <row r="5" customFormat="false" ht="39" hidden="false" customHeight="true" outlineLevel="0" collapsed="false">
      <c r="A5" s="3"/>
      <c r="B5" s="4" t="s">
        <v>212</v>
      </c>
      <c r="C5" s="4" t="s">
        <v>213</v>
      </c>
      <c r="D5" s="16"/>
    </row>
    <row r="6" customFormat="false" ht="39" hidden="false" customHeight="true" outlineLevel="0" collapsed="false">
      <c r="A6" s="3"/>
      <c r="B6" s="4" t="s">
        <v>214</v>
      </c>
      <c r="C6" s="4" t="s">
        <v>215</v>
      </c>
      <c r="D6" s="16"/>
    </row>
    <row r="7" customFormat="false" ht="30" hidden="false" customHeight="true" outlineLevel="0" collapsed="false">
      <c r="A7" s="3"/>
      <c r="B7" s="4" t="s">
        <v>216</v>
      </c>
      <c r="C7" s="4" t="s">
        <v>217</v>
      </c>
      <c r="D7" s="16"/>
    </row>
    <row r="8" customFormat="false" ht="30" hidden="false" customHeight="true" outlineLevel="0" collapsed="false">
      <c r="A8" s="3"/>
      <c r="B8" s="4" t="s">
        <v>218</v>
      </c>
      <c r="C8" s="4" t="s">
        <v>219</v>
      </c>
      <c r="D8" s="16"/>
    </row>
    <row r="9" customFormat="false" ht="30" hidden="false" customHeight="true" outlineLevel="0" collapsed="false">
      <c r="A9" s="3"/>
      <c r="B9" s="4" t="s">
        <v>220</v>
      </c>
      <c r="C9" s="4" t="s">
        <v>221</v>
      </c>
      <c r="D9" s="16"/>
    </row>
    <row r="10" customFormat="false" ht="30" hidden="false" customHeight="true" outlineLevel="0" collapsed="false">
      <c r="A10" s="3"/>
      <c r="B10" s="4" t="s">
        <v>222</v>
      </c>
      <c r="C10" s="4" t="s">
        <v>223</v>
      </c>
      <c r="D10" s="16"/>
    </row>
    <row r="11" customFormat="false" ht="39" hidden="false" customHeight="true" outlineLevel="0" collapsed="false">
      <c r="A11" s="3" t="s">
        <v>126</v>
      </c>
      <c r="B11" s="4" t="s">
        <v>224</v>
      </c>
      <c r="C11" s="4" t="s">
        <v>225</v>
      </c>
      <c r="D11" s="16"/>
    </row>
    <row r="12" customFormat="false" ht="39" hidden="false" customHeight="true" outlineLevel="0" collapsed="false">
      <c r="A12" s="3"/>
      <c r="B12" s="4" t="s">
        <v>226</v>
      </c>
      <c r="C12" s="4" t="s">
        <v>227</v>
      </c>
      <c r="D12" s="16"/>
    </row>
    <row r="13" customFormat="false" ht="30" hidden="false" customHeight="true" outlineLevel="0" collapsed="false">
      <c r="A13" s="3"/>
      <c r="B13" s="4" t="s">
        <v>228</v>
      </c>
      <c r="C13" s="4" t="s">
        <v>229</v>
      </c>
      <c r="D13" s="16"/>
    </row>
    <row r="14" customFormat="false" ht="39" hidden="false" customHeight="true" outlineLevel="0" collapsed="false">
      <c r="A14" s="3"/>
      <c r="B14" s="4" t="s">
        <v>230</v>
      </c>
      <c r="C14" s="4" t="s">
        <v>231</v>
      </c>
      <c r="D14" s="16"/>
    </row>
    <row r="15" customFormat="false" ht="39" hidden="false" customHeight="true" outlineLevel="0" collapsed="false">
      <c r="A15" s="3"/>
      <c r="B15" s="4" t="s">
        <v>232</v>
      </c>
      <c r="C15" s="4" t="s">
        <v>233</v>
      </c>
      <c r="D15" s="16"/>
    </row>
    <row r="16" customFormat="false" ht="30" hidden="false" customHeight="true" outlineLevel="0" collapsed="false">
      <c r="A16" s="3"/>
      <c r="B16" s="4" t="s">
        <v>234</v>
      </c>
      <c r="C16" s="4" t="s">
        <v>235</v>
      </c>
      <c r="D16" s="16"/>
    </row>
    <row r="17" customFormat="false" ht="39" hidden="false" customHeight="true" outlineLevel="0" collapsed="false">
      <c r="A17" s="3"/>
      <c r="B17" s="4" t="s">
        <v>236</v>
      </c>
      <c r="C17" s="4" t="s">
        <v>237</v>
      </c>
      <c r="D17" s="16"/>
    </row>
    <row r="18" customFormat="false" ht="30" hidden="false" customHeight="true" outlineLevel="0" collapsed="false">
      <c r="A18" s="3" t="s">
        <v>129</v>
      </c>
      <c r="B18" s="4" t="s">
        <v>238</v>
      </c>
      <c r="C18" s="4" t="s">
        <v>239</v>
      </c>
      <c r="D18" s="16"/>
    </row>
    <row r="19" customFormat="false" ht="39" hidden="false" customHeight="true" outlineLevel="0" collapsed="false">
      <c r="A19" s="3"/>
      <c r="B19" s="4" t="s">
        <v>240</v>
      </c>
      <c r="C19" s="4" t="s">
        <v>241</v>
      </c>
      <c r="D19" s="16"/>
    </row>
    <row r="20" customFormat="false" ht="30" hidden="false" customHeight="true" outlineLevel="0" collapsed="false">
      <c r="A20" s="3"/>
      <c r="B20" s="4" t="s">
        <v>242</v>
      </c>
      <c r="C20" s="4" t="s">
        <v>243</v>
      </c>
      <c r="D20" s="16"/>
    </row>
    <row r="21" customFormat="false" ht="30" hidden="false" customHeight="true" outlineLevel="0" collapsed="false">
      <c r="A21" s="3"/>
      <c r="B21" s="4" t="s">
        <v>244</v>
      </c>
      <c r="C21" s="4" t="s">
        <v>245</v>
      </c>
      <c r="D21" s="16"/>
    </row>
    <row r="22" customFormat="false" ht="51.75" hidden="false" customHeight="true" outlineLevel="0" collapsed="false">
      <c r="A22" s="3"/>
      <c r="B22" s="4" t="s">
        <v>246</v>
      </c>
      <c r="C22" s="4" t="s">
        <v>247</v>
      </c>
      <c r="D22" s="16"/>
    </row>
    <row r="23" customFormat="false" ht="30" hidden="false" customHeight="true" outlineLevel="0" collapsed="false">
      <c r="A23" s="3"/>
      <c r="B23" s="4" t="s">
        <v>248</v>
      </c>
      <c r="C23" s="4" t="s">
        <v>249</v>
      </c>
      <c r="D23" s="16"/>
    </row>
    <row r="24" customFormat="false" ht="39" hidden="false" customHeight="true" outlineLevel="0" collapsed="false">
      <c r="A24" s="3" t="s">
        <v>131</v>
      </c>
      <c r="B24" s="4" t="s">
        <v>250</v>
      </c>
      <c r="C24" s="4" t="s">
        <v>251</v>
      </c>
      <c r="D24" s="16"/>
    </row>
    <row r="25" customFormat="false" ht="39" hidden="false" customHeight="true" outlineLevel="0" collapsed="false">
      <c r="A25" s="3"/>
      <c r="B25" s="4" t="s">
        <v>252</v>
      </c>
      <c r="C25" s="4" t="s">
        <v>253</v>
      </c>
      <c r="D25" s="16"/>
    </row>
    <row r="26" customFormat="false" ht="30" hidden="false" customHeight="true" outlineLevel="0" collapsed="false">
      <c r="A26" s="3"/>
      <c r="B26" s="4" t="s">
        <v>254</v>
      </c>
      <c r="C26" s="4" t="s">
        <v>255</v>
      </c>
      <c r="D26" s="16"/>
    </row>
    <row r="27" customFormat="false" ht="30" hidden="false" customHeight="true" outlineLevel="0" collapsed="false">
      <c r="A27" s="3"/>
      <c r="B27" s="4" t="s">
        <v>256</v>
      </c>
      <c r="C27" s="4" t="s">
        <v>257</v>
      </c>
      <c r="D27" s="16"/>
    </row>
    <row r="28" customFormat="false" ht="39" hidden="false" customHeight="true" outlineLevel="0" collapsed="false">
      <c r="A28" s="3"/>
      <c r="B28" s="4" t="s">
        <v>258</v>
      </c>
      <c r="C28" s="4" t="s">
        <v>259</v>
      </c>
      <c r="D28" s="16"/>
    </row>
    <row r="29" customFormat="false" ht="30" hidden="false" customHeight="true" outlineLevel="0" collapsed="false">
      <c r="A29" s="3" t="s">
        <v>133</v>
      </c>
      <c r="B29" s="4" t="s">
        <v>260</v>
      </c>
      <c r="C29" s="4" t="s">
        <v>261</v>
      </c>
      <c r="D29" s="16"/>
    </row>
    <row r="30" customFormat="false" ht="30" hidden="false" customHeight="true" outlineLevel="0" collapsed="false">
      <c r="A30" s="3"/>
      <c r="B30" s="4" t="s">
        <v>262</v>
      </c>
      <c r="C30" s="4" t="s">
        <v>263</v>
      </c>
      <c r="D30" s="16"/>
    </row>
    <row r="31" customFormat="false" ht="39" hidden="false" customHeight="true" outlineLevel="0" collapsed="false">
      <c r="A31" s="3"/>
      <c r="B31" s="4" t="s">
        <v>264</v>
      </c>
      <c r="C31" s="4" t="s">
        <v>265</v>
      </c>
      <c r="D31" s="16"/>
    </row>
    <row r="32" customFormat="false" ht="39" hidden="false" customHeight="true" outlineLevel="0" collapsed="false">
      <c r="A32" s="3"/>
      <c r="B32" s="4" t="s">
        <v>266</v>
      </c>
      <c r="C32" s="4" t="s">
        <v>267</v>
      </c>
      <c r="D32" s="16"/>
    </row>
    <row r="33" customFormat="false" ht="39" hidden="false" customHeight="true" outlineLevel="0" collapsed="false">
      <c r="A33" s="3"/>
      <c r="B33" s="4" t="s">
        <v>268</v>
      </c>
      <c r="C33" s="4" t="s">
        <v>269</v>
      </c>
      <c r="D33" s="16"/>
    </row>
    <row r="34" customFormat="false" ht="30" hidden="false" customHeight="true" outlineLevel="0" collapsed="false">
      <c r="A34" s="3"/>
      <c r="B34" s="4" t="s">
        <v>270</v>
      </c>
      <c r="C34" s="4" t="s">
        <v>271</v>
      </c>
      <c r="D34" s="16"/>
    </row>
    <row r="35" customFormat="false" ht="39" hidden="false" customHeight="true" outlineLevel="0" collapsed="false">
      <c r="A35" s="3" t="s">
        <v>136</v>
      </c>
      <c r="B35" s="4" t="s">
        <v>272</v>
      </c>
      <c r="C35" s="4" t="s">
        <v>273</v>
      </c>
      <c r="D35" s="16"/>
    </row>
    <row r="36" customFormat="false" ht="30" hidden="false" customHeight="true" outlineLevel="0" collapsed="false">
      <c r="A36" s="3"/>
      <c r="B36" s="4" t="s">
        <v>274</v>
      </c>
      <c r="C36" s="4" t="s">
        <v>275</v>
      </c>
      <c r="D36" s="16"/>
    </row>
    <row r="37" customFormat="false" ht="39" hidden="false" customHeight="true" outlineLevel="0" collapsed="false">
      <c r="A37" s="3"/>
      <c r="B37" s="4" t="s">
        <v>276</v>
      </c>
      <c r="C37" s="4" t="s">
        <v>277</v>
      </c>
      <c r="D37" s="16"/>
    </row>
    <row r="38" customFormat="false" ht="39" hidden="false" customHeight="true" outlineLevel="0" collapsed="false">
      <c r="A38" s="3"/>
      <c r="B38" s="4" t="s">
        <v>278</v>
      </c>
      <c r="C38" s="4" t="s">
        <v>279</v>
      </c>
      <c r="D38" s="16"/>
    </row>
    <row r="39" customFormat="false" ht="30" hidden="false" customHeight="true" outlineLevel="0" collapsed="false">
      <c r="A39" s="3"/>
      <c r="B39" s="4" t="s">
        <v>280</v>
      </c>
      <c r="C39" s="4" t="s">
        <v>281</v>
      </c>
      <c r="D39" s="16"/>
    </row>
  </sheetData>
  <mergeCells count="6">
    <mergeCell ref="A2:A10"/>
    <mergeCell ref="A11:A17"/>
    <mergeCell ref="A18:A23"/>
    <mergeCell ref="A24:A28"/>
    <mergeCell ref="A29:A34"/>
    <mergeCell ref="A35:A39"/>
  </mergeCells>
  <dataValidations count="1">
    <dataValidation allowBlank="true" errorStyle="stop" operator="between" showDropDown="false" showErrorMessage="false" showInputMessage="false" sqref="D2:D39"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34"/>
    <col collapsed="false" customWidth="true" hidden="false" outlineLevel="0" max="3" min="3" style="1" width="96"/>
    <col collapsed="false" customWidth="true" hidden="false" outlineLevel="0" max="4" min="4" style="1" width="14"/>
  </cols>
  <sheetData>
    <row r="1" customFormat="false" ht="15" hidden="false" customHeight="true" outlineLevel="0" collapsed="false">
      <c r="A1" s="5" t="s">
        <v>114</v>
      </c>
      <c r="B1" s="5" t="s">
        <v>203</v>
      </c>
      <c r="C1" s="5" t="s">
        <v>204</v>
      </c>
      <c r="D1" s="5" t="s">
        <v>205</v>
      </c>
    </row>
    <row r="2" customFormat="false" ht="39" hidden="false" customHeight="true" outlineLevel="0" collapsed="false">
      <c r="A2" s="3" t="s">
        <v>143</v>
      </c>
      <c r="B2" s="4" t="s">
        <v>282</v>
      </c>
      <c r="C2" s="4" t="s">
        <v>283</v>
      </c>
      <c r="D2" s="16"/>
    </row>
    <row r="3" customFormat="false" ht="30" hidden="false" customHeight="true" outlineLevel="0" collapsed="false">
      <c r="A3" s="3"/>
      <c r="B3" s="4" t="s">
        <v>284</v>
      </c>
      <c r="C3" s="4" t="s">
        <v>285</v>
      </c>
      <c r="D3" s="16"/>
    </row>
    <row r="4" customFormat="false" ht="39" hidden="false" customHeight="true" outlineLevel="0" collapsed="false">
      <c r="A4" s="3"/>
      <c r="B4" s="4" t="s">
        <v>286</v>
      </c>
      <c r="C4" s="4" t="s">
        <v>287</v>
      </c>
      <c r="D4" s="16"/>
    </row>
    <row r="5" customFormat="false" ht="39" hidden="false" customHeight="true" outlineLevel="0" collapsed="false">
      <c r="A5" s="3"/>
      <c r="B5" s="4" t="s">
        <v>288</v>
      </c>
      <c r="C5" s="4" t="s">
        <v>289</v>
      </c>
      <c r="D5" s="16"/>
    </row>
    <row r="6" customFormat="false" ht="39" hidden="false" customHeight="true" outlineLevel="0" collapsed="false">
      <c r="A6" s="3"/>
      <c r="B6" s="4" t="s">
        <v>290</v>
      </c>
      <c r="C6" s="4" t="s">
        <v>291</v>
      </c>
      <c r="D6" s="16"/>
    </row>
    <row r="7" customFormat="false" ht="30" hidden="false" customHeight="true" outlineLevel="0" collapsed="false">
      <c r="A7" s="3"/>
      <c r="B7" s="4" t="s">
        <v>292</v>
      </c>
      <c r="C7" s="4" t="s">
        <v>293</v>
      </c>
      <c r="D7" s="16"/>
    </row>
    <row r="8" customFormat="false" ht="30" hidden="false" customHeight="true" outlineLevel="0" collapsed="false">
      <c r="A8" s="3" t="s">
        <v>144</v>
      </c>
      <c r="B8" s="4" t="s">
        <v>294</v>
      </c>
      <c r="C8" s="4" t="s">
        <v>295</v>
      </c>
      <c r="D8" s="16"/>
    </row>
    <row r="9" customFormat="false" ht="39" hidden="false" customHeight="true" outlineLevel="0" collapsed="false">
      <c r="A9" s="3"/>
      <c r="B9" s="4" t="s">
        <v>296</v>
      </c>
      <c r="C9" s="4" t="s">
        <v>297</v>
      </c>
      <c r="D9" s="16"/>
    </row>
    <row r="10" customFormat="false" ht="39" hidden="false" customHeight="true" outlineLevel="0" collapsed="false">
      <c r="A10" s="3"/>
      <c r="B10" s="4" t="s">
        <v>298</v>
      </c>
      <c r="C10" s="4" t="s">
        <v>299</v>
      </c>
      <c r="D10" s="16"/>
    </row>
    <row r="11" customFormat="false" ht="39" hidden="false" customHeight="true" outlineLevel="0" collapsed="false">
      <c r="A11" s="3"/>
      <c r="B11" s="4" t="s">
        <v>300</v>
      </c>
      <c r="C11" s="4" t="s">
        <v>301</v>
      </c>
      <c r="D11" s="16"/>
    </row>
    <row r="12" customFormat="false" ht="39" hidden="false" customHeight="true" outlineLevel="0" collapsed="false">
      <c r="A12" s="3"/>
      <c r="B12" s="4" t="s">
        <v>302</v>
      </c>
      <c r="C12" s="4" t="s">
        <v>303</v>
      </c>
      <c r="D12" s="16"/>
    </row>
    <row r="13" customFormat="false" ht="30" hidden="false" customHeight="true" outlineLevel="0" collapsed="false">
      <c r="A13" s="3"/>
      <c r="B13" s="4" t="s">
        <v>304</v>
      </c>
      <c r="C13" s="4" t="s">
        <v>305</v>
      </c>
      <c r="D13" s="16"/>
    </row>
    <row r="14" customFormat="false" ht="39" hidden="false" customHeight="true" outlineLevel="0" collapsed="false">
      <c r="A14" s="3" t="s">
        <v>145</v>
      </c>
      <c r="B14" s="4" t="s">
        <v>306</v>
      </c>
      <c r="C14" s="4" t="s">
        <v>307</v>
      </c>
      <c r="D14" s="16"/>
    </row>
    <row r="15" customFormat="false" ht="39" hidden="false" customHeight="true" outlineLevel="0" collapsed="false">
      <c r="A15" s="3"/>
      <c r="B15" s="4" t="s">
        <v>308</v>
      </c>
      <c r="C15" s="4" t="s">
        <v>309</v>
      </c>
      <c r="D15" s="16"/>
    </row>
    <row r="16" customFormat="false" ht="30" hidden="false" customHeight="true" outlineLevel="0" collapsed="false">
      <c r="A16" s="3"/>
      <c r="B16" s="4" t="s">
        <v>310</v>
      </c>
      <c r="C16" s="4" t="s">
        <v>311</v>
      </c>
      <c r="D16" s="16"/>
    </row>
    <row r="17" customFormat="false" ht="39" hidden="false" customHeight="true" outlineLevel="0" collapsed="false">
      <c r="A17" s="3"/>
      <c r="B17" s="4" t="s">
        <v>312</v>
      </c>
      <c r="C17" s="4" t="s">
        <v>313</v>
      </c>
      <c r="D17" s="16"/>
    </row>
    <row r="18" customFormat="false" ht="39" hidden="false" customHeight="true" outlineLevel="0" collapsed="false">
      <c r="A18" s="3"/>
      <c r="B18" s="4" t="s">
        <v>314</v>
      </c>
      <c r="C18" s="4" t="s">
        <v>315</v>
      </c>
      <c r="D18" s="16"/>
    </row>
    <row r="19" customFormat="false" ht="30" hidden="false" customHeight="true" outlineLevel="0" collapsed="false">
      <c r="A19" s="3"/>
      <c r="B19" s="4" t="s">
        <v>302</v>
      </c>
      <c r="C19" s="4" t="s">
        <v>316</v>
      </c>
      <c r="D19" s="16"/>
    </row>
    <row r="20" customFormat="false" ht="51.75" hidden="false" customHeight="true" outlineLevel="0" collapsed="false">
      <c r="A20" s="3" t="s">
        <v>146</v>
      </c>
      <c r="B20" s="4" t="s">
        <v>317</v>
      </c>
      <c r="C20" s="4" t="s">
        <v>318</v>
      </c>
      <c r="D20" s="16"/>
    </row>
    <row r="21" customFormat="false" ht="30" hidden="false" customHeight="true" outlineLevel="0" collapsed="false">
      <c r="A21" s="3"/>
      <c r="B21" s="4" t="s">
        <v>319</v>
      </c>
      <c r="C21" s="4" t="s">
        <v>320</v>
      </c>
      <c r="D21" s="16"/>
    </row>
    <row r="22" customFormat="false" ht="39" hidden="false" customHeight="true" outlineLevel="0" collapsed="false">
      <c r="A22" s="3"/>
      <c r="B22" s="4" t="s">
        <v>321</v>
      </c>
      <c r="C22" s="4" t="s">
        <v>322</v>
      </c>
      <c r="D22" s="16"/>
    </row>
    <row r="23" customFormat="false" ht="30" hidden="false" customHeight="true" outlineLevel="0" collapsed="false">
      <c r="A23" s="3"/>
      <c r="B23" s="4" t="s">
        <v>323</v>
      </c>
      <c r="C23" s="4" t="s">
        <v>324</v>
      </c>
      <c r="D23" s="16"/>
    </row>
    <row r="24" customFormat="false" ht="30" hidden="false" customHeight="true" outlineLevel="0" collapsed="false">
      <c r="A24" s="3"/>
      <c r="B24" s="4" t="s">
        <v>325</v>
      </c>
      <c r="C24" s="4" t="s">
        <v>326</v>
      </c>
      <c r="D24" s="16"/>
    </row>
    <row r="25" customFormat="false" ht="51.75" hidden="false" customHeight="true" outlineLevel="0" collapsed="false">
      <c r="A25" s="3" t="s">
        <v>147</v>
      </c>
      <c r="B25" s="4" t="s">
        <v>327</v>
      </c>
      <c r="C25" s="4" t="s">
        <v>328</v>
      </c>
      <c r="D25" s="16"/>
    </row>
    <row r="26" customFormat="false" ht="39" hidden="false" customHeight="true" outlineLevel="0" collapsed="false">
      <c r="A26" s="3"/>
      <c r="B26" s="4" t="s">
        <v>329</v>
      </c>
      <c r="C26" s="4" t="s">
        <v>330</v>
      </c>
      <c r="D26" s="16"/>
    </row>
    <row r="27" customFormat="false" ht="39" hidden="false" customHeight="true" outlineLevel="0" collapsed="false">
      <c r="A27" s="3"/>
      <c r="B27" s="4" t="s">
        <v>331</v>
      </c>
      <c r="C27" s="4" t="s">
        <v>332</v>
      </c>
      <c r="D27" s="16"/>
    </row>
    <row r="28" customFormat="false" ht="39" hidden="false" customHeight="true" outlineLevel="0" collapsed="false">
      <c r="A28" s="3"/>
      <c r="B28" s="4" t="s">
        <v>333</v>
      </c>
      <c r="C28" s="4" t="s">
        <v>334</v>
      </c>
      <c r="D28" s="16"/>
    </row>
    <row r="29" customFormat="false" ht="30" hidden="false" customHeight="true" outlineLevel="0" collapsed="false">
      <c r="A29" s="3"/>
      <c r="B29" s="4" t="s">
        <v>335</v>
      </c>
      <c r="C29" s="4" t="s">
        <v>336</v>
      </c>
      <c r="D29" s="16"/>
    </row>
  </sheetData>
  <mergeCells count="5">
    <mergeCell ref="A2:A7"/>
    <mergeCell ref="A8:A13"/>
    <mergeCell ref="A14:A19"/>
    <mergeCell ref="A20:A24"/>
    <mergeCell ref="A25:A29"/>
  </mergeCells>
  <dataValidations count="1">
    <dataValidation allowBlank="true" errorStyle="stop" operator="between" showDropDown="false" showErrorMessage="false" showInputMessage="false" sqref="D2:D29"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34"/>
    <col collapsed="false" customWidth="true" hidden="false" outlineLevel="0" max="3" min="3" style="1" width="96"/>
    <col collapsed="false" customWidth="true" hidden="false" outlineLevel="0" max="4" min="4" style="1" width="14"/>
  </cols>
  <sheetData>
    <row r="1" customFormat="false" ht="15" hidden="false" customHeight="true" outlineLevel="0" collapsed="false">
      <c r="A1" s="5" t="s">
        <v>114</v>
      </c>
      <c r="B1" s="5" t="s">
        <v>203</v>
      </c>
      <c r="C1" s="5" t="s">
        <v>204</v>
      </c>
      <c r="D1" s="5" t="s">
        <v>205</v>
      </c>
    </row>
    <row r="2" customFormat="false" ht="39" hidden="false" customHeight="true" outlineLevel="0" collapsed="false">
      <c r="A2" s="3" t="s">
        <v>149</v>
      </c>
      <c r="B2" s="4" t="s">
        <v>337</v>
      </c>
      <c r="C2" s="4" t="s">
        <v>338</v>
      </c>
      <c r="D2" s="16"/>
    </row>
    <row r="3" customFormat="false" ht="39" hidden="false" customHeight="true" outlineLevel="0" collapsed="false">
      <c r="A3" s="3"/>
      <c r="B3" s="4" t="s">
        <v>339</v>
      </c>
      <c r="C3" s="4" t="s">
        <v>340</v>
      </c>
      <c r="D3" s="16"/>
    </row>
    <row r="4" customFormat="false" ht="51.75" hidden="false" customHeight="true" outlineLevel="0" collapsed="false">
      <c r="A4" s="3"/>
      <c r="B4" s="4" t="s">
        <v>341</v>
      </c>
      <c r="C4" s="4" t="s">
        <v>342</v>
      </c>
      <c r="D4" s="16"/>
    </row>
    <row r="5" customFormat="false" ht="39" hidden="false" customHeight="true" outlineLevel="0" collapsed="false">
      <c r="A5" s="3"/>
      <c r="B5" s="4" t="s">
        <v>343</v>
      </c>
      <c r="C5" s="4" t="s">
        <v>344</v>
      </c>
      <c r="D5" s="16"/>
    </row>
    <row r="6" customFormat="false" ht="30" hidden="false" customHeight="true" outlineLevel="0" collapsed="false">
      <c r="A6" s="3"/>
      <c r="B6" s="4" t="s">
        <v>345</v>
      </c>
      <c r="C6" s="4" t="s">
        <v>346</v>
      </c>
      <c r="D6" s="16"/>
    </row>
    <row r="7" customFormat="false" ht="39" hidden="false" customHeight="true" outlineLevel="0" collapsed="false">
      <c r="A7" s="3"/>
      <c r="B7" s="4" t="s">
        <v>132</v>
      </c>
      <c r="C7" s="4" t="s">
        <v>347</v>
      </c>
      <c r="D7" s="16"/>
    </row>
    <row r="8" customFormat="false" ht="51.75" hidden="false" customHeight="true" outlineLevel="0" collapsed="false">
      <c r="A8" s="3"/>
      <c r="B8" s="4" t="s">
        <v>348</v>
      </c>
      <c r="C8" s="4" t="s">
        <v>349</v>
      </c>
      <c r="D8" s="16"/>
    </row>
    <row r="9" customFormat="false" ht="39" hidden="false" customHeight="true" outlineLevel="0" collapsed="false">
      <c r="A9" s="3"/>
      <c r="B9" s="4" t="s">
        <v>350</v>
      </c>
      <c r="C9" s="4" t="s">
        <v>351</v>
      </c>
      <c r="D9" s="16"/>
    </row>
    <row r="10" customFormat="false" ht="39" hidden="false" customHeight="true" outlineLevel="0" collapsed="false">
      <c r="A10" s="3"/>
      <c r="B10" s="4" t="s">
        <v>352</v>
      </c>
      <c r="C10" s="4" t="s">
        <v>353</v>
      </c>
      <c r="D10" s="16"/>
    </row>
    <row r="11" customFormat="false" ht="39" hidden="false" customHeight="true" outlineLevel="0" collapsed="false">
      <c r="A11" s="3" t="s">
        <v>150</v>
      </c>
      <c r="B11" s="4" t="s">
        <v>354</v>
      </c>
      <c r="C11" s="4" t="s">
        <v>355</v>
      </c>
      <c r="D11" s="16"/>
    </row>
    <row r="12" customFormat="false" ht="39" hidden="false" customHeight="true" outlineLevel="0" collapsed="false">
      <c r="A12" s="3"/>
      <c r="B12" s="4" t="s">
        <v>356</v>
      </c>
      <c r="C12" s="4" t="s">
        <v>357</v>
      </c>
      <c r="D12" s="16"/>
    </row>
    <row r="13" customFormat="false" ht="39" hidden="false" customHeight="true" outlineLevel="0" collapsed="false">
      <c r="A13" s="3"/>
      <c r="B13" s="4" t="s">
        <v>358</v>
      </c>
      <c r="C13" s="4" t="s">
        <v>359</v>
      </c>
      <c r="D13" s="16"/>
    </row>
    <row r="14" customFormat="false" ht="39" hidden="false" customHeight="true" outlineLevel="0" collapsed="false">
      <c r="A14" s="3"/>
      <c r="B14" s="4" t="s">
        <v>360</v>
      </c>
      <c r="C14" s="4" t="s">
        <v>361</v>
      </c>
      <c r="D14" s="16"/>
    </row>
    <row r="15" customFormat="false" ht="39" hidden="false" customHeight="true" outlineLevel="0" collapsed="false">
      <c r="A15" s="3"/>
      <c r="B15" s="4" t="s">
        <v>362</v>
      </c>
      <c r="C15" s="4" t="s">
        <v>363</v>
      </c>
      <c r="D15" s="16"/>
    </row>
  </sheetData>
  <mergeCells count="2">
    <mergeCell ref="A2:A10"/>
    <mergeCell ref="A11:A15"/>
  </mergeCells>
  <dataValidations count="1">
    <dataValidation allowBlank="true" errorStyle="stop" operator="between" showDropDown="false" showErrorMessage="false" showInputMessage="false" sqref="D2:D15"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34"/>
    <col collapsed="false" customWidth="true" hidden="false" outlineLevel="0" max="3" min="3" style="1" width="96"/>
    <col collapsed="false" customWidth="true" hidden="false" outlineLevel="0" max="4" min="4" style="1" width="14"/>
  </cols>
  <sheetData>
    <row r="1" customFormat="false" ht="15" hidden="false" customHeight="true" outlineLevel="0" collapsed="false">
      <c r="A1" s="5" t="s">
        <v>114</v>
      </c>
      <c r="B1" s="5" t="s">
        <v>203</v>
      </c>
      <c r="C1" s="5" t="s">
        <v>204</v>
      </c>
      <c r="D1" s="5" t="s">
        <v>205</v>
      </c>
    </row>
    <row r="2" customFormat="false" ht="39" hidden="false" customHeight="true" outlineLevel="0" collapsed="false">
      <c r="A2" s="3" t="s">
        <v>157</v>
      </c>
      <c r="B2" s="4" t="s">
        <v>364</v>
      </c>
      <c r="C2" s="4" t="s">
        <v>365</v>
      </c>
      <c r="D2" s="16"/>
    </row>
    <row r="3" customFormat="false" ht="39" hidden="false" customHeight="true" outlineLevel="0" collapsed="false">
      <c r="A3" s="3"/>
      <c r="B3" s="4" t="s">
        <v>366</v>
      </c>
      <c r="C3" s="4" t="s">
        <v>367</v>
      </c>
      <c r="D3" s="16"/>
    </row>
    <row r="4" customFormat="false" ht="39" hidden="false" customHeight="true" outlineLevel="0" collapsed="false">
      <c r="A4" s="3"/>
      <c r="B4" s="4" t="s">
        <v>368</v>
      </c>
      <c r="C4" s="4" t="s">
        <v>369</v>
      </c>
      <c r="D4" s="16"/>
    </row>
    <row r="5" customFormat="false" ht="51.75" hidden="false" customHeight="true" outlineLevel="0" collapsed="false">
      <c r="A5" s="3"/>
      <c r="B5" s="4" t="s">
        <v>370</v>
      </c>
      <c r="C5" s="4" t="s">
        <v>371</v>
      </c>
      <c r="D5" s="16"/>
    </row>
    <row r="6" customFormat="false" ht="30" hidden="false" customHeight="true" outlineLevel="0" collapsed="false">
      <c r="A6" s="3"/>
      <c r="B6" s="4" t="s">
        <v>372</v>
      </c>
      <c r="C6" s="4" t="s">
        <v>373</v>
      </c>
      <c r="D6" s="16"/>
    </row>
    <row r="7" customFormat="false" ht="39" hidden="false" customHeight="true" outlineLevel="0" collapsed="false">
      <c r="A7" s="3"/>
      <c r="B7" s="4" t="s">
        <v>374</v>
      </c>
      <c r="C7" s="4" t="s">
        <v>375</v>
      </c>
      <c r="D7" s="16"/>
    </row>
    <row r="8" customFormat="false" ht="39" hidden="false" customHeight="true" outlineLevel="0" collapsed="false">
      <c r="A8" s="3" t="s">
        <v>158</v>
      </c>
      <c r="B8" s="4" t="s">
        <v>376</v>
      </c>
      <c r="C8" s="4" t="s">
        <v>377</v>
      </c>
      <c r="D8" s="16"/>
    </row>
    <row r="9" customFormat="false" ht="39" hidden="false" customHeight="true" outlineLevel="0" collapsed="false">
      <c r="A9" s="3"/>
      <c r="B9" s="4" t="s">
        <v>378</v>
      </c>
      <c r="C9" s="4" t="s">
        <v>379</v>
      </c>
      <c r="D9" s="16"/>
    </row>
    <row r="10" customFormat="false" ht="39" hidden="false" customHeight="true" outlineLevel="0" collapsed="false">
      <c r="A10" s="3"/>
      <c r="B10" s="4" t="s">
        <v>380</v>
      </c>
      <c r="C10" s="4" t="s">
        <v>381</v>
      </c>
      <c r="D10" s="16"/>
    </row>
    <row r="11" customFormat="false" ht="30" hidden="false" customHeight="true" outlineLevel="0" collapsed="false">
      <c r="A11" s="3"/>
      <c r="B11" s="4" t="s">
        <v>124</v>
      </c>
      <c r="C11" s="4" t="s">
        <v>382</v>
      </c>
      <c r="D11" s="16"/>
    </row>
    <row r="12" customFormat="false" ht="30" hidden="false" customHeight="true" outlineLevel="0" collapsed="false">
      <c r="A12" s="3" t="s">
        <v>160</v>
      </c>
      <c r="B12" s="4" t="s">
        <v>383</v>
      </c>
      <c r="C12" s="4" t="s">
        <v>384</v>
      </c>
      <c r="D12" s="16"/>
    </row>
    <row r="13" customFormat="false" ht="39" hidden="false" customHeight="true" outlineLevel="0" collapsed="false">
      <c r="A13" s="3"/>
      <c r="B13" s="4" t="s">
        <v>385</v>
      </c>
      <c r="C13" s="4" t="s">
        <v>386</v>
      </c>
      <c r="D13" s="16"/>
    </row>
    <row r="14" customFormat="false" ht="51.75" hidden="false" customHeight="true" outlineLevel="0" collapsed="false">
      <c r="A14" s="3"/>
      <c r="B14" s="4" t="s">
        <v>387</v>
      </c>
      <c r="C14" s="4" t="s">
        <v>388</v>
      </c>
      <c r="D14" s="16"/>
    </row>
    <row r="15" customFormat="false" ht="39" hidden="false" customHeight="true" outlineLevel="0" collapsed="false">
      <c r="A15" s="3"/>
      <c r="B15" s="4" t="s">
        <v>389</v>
      </c>
      <c r="C15" s="4" t="s">
        <v>390</v>
      </c>
      <c r="D15" s="16"/>
    </row>
    <row r="16" customFormat="false" ht="39" hidden="false" customHeight="true" outlineLevel="0" collapsed="false">
      <c r="A16" s="3"/>
      <c r="B16" s="4" t="s">
        <v>391</v>
      </c>
      <c r="C16" s="4" t="s">
        <v>392</v>
      </c>
      <c r="D16" s="16"/>
    </row>
    <row r="17" customFormat="false" ht="39" hidden="false" customHeight="true" outlineLevel="0" collapsed="false">
      <c r="A17" s="3"/>
      <c r="B17" s="4" t="s">
        <v>393</v>
      </c>
      <c r="C17" s="4" t="s">
        <v>394</v>
      </c>
      <c r="D17" s="16"/>
    </row>
  </sheetData>
  <mergeCells count="3">
    <mergeCell ref="A2:A7"/>
    <mergeCell ref="A8:A11"/>
    <mergeCell ref="A12:A17"/>
  </mergeCells>
  <dataValidations count="1">
    <dataValidation allowBlank="true" errorStyle="stop" operator="between" showDropDown="false" showErrorMessage="false" showInputMessage="false" sqref="D2:D17"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34"/>
    <col collapsed="false" customWidth="true" hidden="false" outlineLevel="0" max="3" min="3" style="1" width="96"/>
    <col collapsed="false" customWidth="true" hidden="false" outlineLevel="0" max="4" min="4" style="1" width="14"/>
  </cols>
  <sheetData>
    <row r="1" customFormat="false" ht="15" hidden="false" customHeight="true" outlineLevel="0" collapsed="false">
      <c r="A1" s="5" t="s">
        <v>114</v>
      </c>
      <c r="B1" s="5" t="s">
        <v>203</v>
      </c>
      <c r="C1" s="5" t="s">
        <v>204</v>
      </c>
      <c r="D1" s="5" t="s">
        <v>205</v>
      </c>
    </row>
    <row r="2" customFormat="false" ht="30" hidden="false" customHeight="true" outlineLevel="0" collapsed="false">
      <c r="A2" s="3" t="s">
        <v>162</v>
      </c>
      <c r="B2" s="4" t="s">
        <v>395</v>
      </c>
      <c r="C2" s="4" t="s">
        <v>396</v>
      </c>
      <c r="D2" s="16"/>
    </row>
    <row r="3" customFormat="false" ht="39" hidden="false" customHeight="true" outlineLevel="0" collapsed="false">
      <c r="A3" s="3"/>
      <c r="B3" s="4" t="s">
        <v>397</v>
      </c>
      <c r="C3" s="4" t="s">
        <v>398</v>
      </c>
      <c r="D3" s="16"/>
    </row>
    <row r="4" customFormat="false" ht="39" hidden="false" customHeight="true" outlineLevel="0" collapsed="false">
      <c r="A4" s="3"/>
      <c r="B4" s="4" t="s">
        <v>399</v>
      </c>
      <c r="C4" s="4" t="s">
        <v>400</v>
      </c>
      <c r="D4" s="16"/>
    </row>
    <row r="5" customFormat="false" ht="39" hidden="false" customHeight="true" outlineLevel="0" collapsed="false">
      <c r="A5" s="3"/>
      <c r="B5" s="4" t="s">
        <v>401</v>
      </c>
      <c r="C5" s="4" t="s">
        <v>402</v>
      </c>
      <c r="D5" s="16"/>
    </row>
    <row r="6" customFormat="false" ht="51.75" hidden="false" customHeight="true" outlineLevel="0" collapsed="false">
      <c r="A6" s="3"/>
      <c r="B6" s="4" t="s">
        <v>403</v>
      </c>
      <c r="C6" s="4" t="s">
        <v>404</v>
      </c>
      <c r="D6" s="16"/>
    </row>
    <row r="7" customFormat="false" ht="39" hidden="false" customHeight="true" outlineLevel="0" collapsed="false">
      <c r="A7" s="3"/>
      <c r="B7" s="4" t="s">
        <v>405</v>
      </c>
      <c r="C7" s="4" t="s">
        <v>406</v>
      </c>
      <c r="D7" s="16"/>
    </row>
    <row r="8" customFormat="false" ht="39" hidden="false" customHeight="true" outlineLevel="0" collapsed="false">
      <c r="A8" s="3"/>
      <c r="B8" s="4" t="s">
        <v>407</v>
      </c>
      <c r="C8" s="4" t="s">
        <v>408</v>
      </c>
      <c r="D8" s="16"/>
    </row>
    <row r="9" customFormat="false" ht="30" hidden="false" customHeight="true" outlineLevel="0" collapsed="false">
      <c r="A9" s="3"/>
      <c r="B9" s="4" t="s">
        <v>409</v>
      </c>
      <c r="C9" s="4" t="s">
        <v>410</v>
      </c>
      <c r="D9" s="16"/>
    </row>
    <row r="10" customFormat="false" ht="39" hidden="false" customHeight="true" outlineLevel="0" collapsed="false">
      <c r="A10" s="3" t="s">
        <v>163</v>
      </c>
      <c r="B10" s="4" t="s">
        <v>411</v>
      </c>
      <c r="C10" s="4" t="s">
        <v>412</v>
      </c>
      <c r="D10" s="16"/>
    </row>
    <row r="11" customFormat="false" ht="64.5" hidden="false" customHeight="true" outlineLevel="0" collapsed="false">
      <c r="A11" s="3"/>
      <c r="B11" s="4" t="s">
        <v>413</v>
      </c>
      <c r="C11" s="4" t="s">
        <v>414</v>
      </c>
      <c r="D11" s="16"/>
    </row>
    <row r="12" customFormat="false" ht="39" hidden="false" customHeight="true" outlineLevel="0" collapsed="false">
      <c r="A12" s="3"/>
      <c r="B12" s="4" t="s">
        <v>415</v>
      </c>
      <c r="C12" s="4" t="s">
        <v>416</v>
      </c>
      <c r="D12" s="16"/>
    </row>
    <row r="13" customFormat="false" ht="51.75" hidden="false" customHeight="true" outlineLevel="0" collapsed="false">
      <c r="A13" s="3"/>
      <c r="B13" s="4" t="s">
        <v>417</v>
      </c>
      <c r="C13" s="4" t="s">
        <v>418</v>
      </c>
      <c r="D13" s="16"/>
    </row>
    <row r="14" customFormat="false" ht="39" hidden="false" customHeight="true" outlineLevel="0" collapsed="false">
      <c r="A14" s="3"/>
      <c r="B14" s="4" t="s">
        <v>419</v>
      </c>
      <c r="C14" s="4" t="s">
        <v>420</v>
      </c>
      <c r="D14" s="16"/>
    </row>
    <row r="15" customFormat="false" ht="51.75" hidden="false" customHeight="true" outlineLevel="0" collapsed="false">
      <c r="A15" s="3"/>
      <c r="B15" s="4" t="s">
        <v>421</v>
      </c>
      <c r="C15" s="4" t="s">
        <v>422</v>
      </c>
      <c r="D15" s="16"/>
    </row>
    <row r="16" customFormat="false" ht="30" hidden="false" customHeight="true" outlineLevel="0" collapsed="false">
      <c r="A16" s="3"/>
      <c r="B16" s="4" t="s">
        <v>423</v>
      </c>
      <c r="C16" s="4" t="s">
        <v>424</v>
      </c>
      <c r="D16" s="16"/>
    </row>
  </sheetData>
  <mergeCells count="2">
    <mergeCell ref="A2:A9"/>
    <mergeCell ref="A10:A16"/>
  </mergeCells>
  <dataValidations count="1">
    <dataValidation allowBlank="true" errorStyle="stop" operator="between" showDropDown="false" showErrorMessage="false" showInputMessage="false" sqref="D2:D16"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34"/>
    <col collapsed="false" customWidth="true" hidden="false" outlineLevel="0" max="3" min="3" style="1" width="96"/>
    <col collapsed="false" customWidth="true" hidden="false" outlineLevel="0" max="4" min="4" style="1" width="14"/>
  </cols>
  <sheetData>
    <row r="1" customFormat="false" ht="15" hidden="false" customHeight="true" outlineLevel="0" collapsed="false">
      <c r="A1" s="5" t="s">
        <v>114</v>
      </c>
      <c r="B1" s="5" t="s">
        <v>203</v>
      </c>
      <c r="C1" s="5" t="s">
        <v>204</v>
      </c>
      <c r="D1" s="5" t="s">
        <v>205</v>
      </c>
    </row>
    <row r="2" customFormat="false" ht="39" hidden="false" customHeight="true" outlineLevel="0" collapsed="false">
      <c r="A2" s="3" t="s">
        <v>166</v>
      </c>
      <c r="B2" s="4" t="s">
        <v>425</v>
      </c>
      <c r="C2" s="4" t="s">
        <v>426</v>
      </c>
      <c r="D2" s="16"/>
    </row>
    <row r="3" customFormat="false" ht="39" hidden="false" customHeight="true" outlineLevel="0" collapsed="false">
      <c r="A3" s="3"/>
      <c r="B3" s="4" t="s">
        <v>427</v>
      </c>
      <c r="C3" s="4" t="s">
        <v>428</v>
      </c>
      <c r="D3" s="16"/>
    </row>
    <row r="4" customFormat="false" ht="39" hidden="false" customHeight="true" outlineLevel="0" collapsed="false">
      <c r="A4" s="3"/>
      <c r="B4" s="4" t="s">
        <v>429</v>
      </c>
      <c r="C4" s="4" t="s">
        <v>430</v>
      </c>
      <c r="D4" s="16"/>
    </row>
    <row r="5" customFormat="false" ht="30" hidden="false" customHeight="true" outlineLevel="0" collapsed="false">
      <c r="A5" s="3"/>
      <c r="B5" s="4" t="s">
        <v>431</v>
      </c>
      <c r="C5" s="4" t="s">
        <v>432</v>
      </c>
      <c r="D5" s="16"/>
    </row>
    <row r="6" customFormat="false" ht="39" hidden="false" customHeight="true" outlineLevel="0" collapsed="false">
      <c r="A6" s="3"/>
      <c r="B6" s="4" t="s">
        <v>433</v>
      </c>
      <c r="C6" s="4" t="s">
        <v>434</v>
      </c>
      <c r="D6" s="16"/>
    </row>
    <row r="7" customFormat="false" ht="30" hidden="false" customHeight="true" outlineLevel="0" collapsed="false">
      <c r="A7" s="3"/>
      <c r="B7" s="4" t="s">
        <v>435</v>
      </c>
      <c r="C7" s="4" t="s">
        <v>436</v>
      </c>
      <c r="D7" s="16"/>
    </row>
    <row r="8" customFormat="false" ht="51.75" hidden="false" customHeight="true" outlineLevel="0" collapsed="false">
      <c r="A8" s="3" t="s">
        <v>437</v>
      </c>
      <c r="B8" s="4" t="s">
        <v>438</v>
      </c>
      <c r="C8" s="4" t="s">
        <v>439</v>
      </c>
      <c r="D8" s="16"/>
    </row>
    <row r="9" customFormat="false" ht="39" hidden="false" customHeight="true" outlineLevel="0" collapsed="false">
      <c r="A9" s="3"/>
      <c r="B9" s="4" t="s">
        <v>440</v>
      </c>
      <c r="C9" s="4" t="s">
        <v>441</v>
      </c>
      <c r="D9" s="16"/>
    </row>
    <row r="10" customFormat="false" ht="39" hidden="false" customHeight="true" outlineLevel="0" collapsed="false">
      <c r="A10" s="3"/>
      <c r="B10" s="4" t="s">
        <v>442</v>
      </c>
      <c r="C10" s="4" t="s">
        <v>443</v>
      </c>
      <c r="D10" s="16"/>
    </row>
    <row r="11" customFormat="false" ht="39" hidden="false" customHeight="true" outlineLevel="0" collapsed="false">
      <c r="A11" s="3"/>
      <c r="B11" s="4" t="s">
        <v>444</v>
      </c>
      <c r="C11" s="4" t="s">
        <v>445</v>
      </c>
      <c r="D11" s="16"/>
    </row>
    <row r="12" customFormat="false" ht="51.75" hidden="false" customHeight="true" outlineLevel="0" collapsed="false">
      <c r="A12" s="3"/>
      <c r="B12" s="4" t="s">
        <v>446</v>
      </c>
      <c r="C12" s="4" t="s">
        <v>447</v>
      </c>
      <c r="D12" s="16"/>
    </row>
    <row r="13" customFormat="false" ht="39" hidden="false" customHeight="true" outlineLevel="0" collapsed="false">
      <c r="A13" s="3"/>
      <c r="B13" s="4" t="s">
        <v>448</v>
      </c>
      <c r="C13" s="4" t="s">
        <v>449</v>
      </c>
      <c r="D13" s="16"/>
    </row>
  </sheetData>
  <mergeCells count="2">
    <mergeCell ref="A2:A7"/>
    <mergeCell ref="A8:A13"/>
  </mergeCells>
  <dataValidations count="1">
    <dataValidation allowBlank="true" errorStyle="stop" operator="between" showDropDown="false" showErrorMessage="false" showInputMessage="false" sqref="D2:D13"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34"/>
    <col collapsed="false" customWidth="true" hidden="false" outlineLevel="0" max="3" min="3" style="1" width="96"/>
    <col collapsed="false" customWidth="true" hidden="false" outlineLevel="0" max="4" min="4" style="1" width="14"/>
  </cols>
  <sheetData>
    <row r="1" customFormat="false" ht="15" hidden="false" customHeight="true" outlineLevel="0" collapsed="false">
      <c r="A1" s="5" t="s">
        <v>114</v>
      </c>
      <c r="B1" s="5" t="s">
        <v>203</v>
      </c>
      <c r="C1" s="5" t="s">
        <v>204</v>
      </c>
      <c r="D1" s="5" t="s">
        <v>205</v>
      </c>
    </row>
    <row r="2" customFormat="false" ht="39" hidden="false" customHeight="true" outlineLevel="0" collapsed="false">
      <c r="A2" s="3" t="s">
        <v>171</v>
      </c>
      <c r="B2" s="4" t="s">
        <v>450</v>
      </c>
      <c r="C2" s="4" t="s">
        <v>451</v>
      </c>
      <c r="D2" s="16"/>
    </row>
    <row r="3" customFormat="false" ht="64.5" hidden="false" customHeight="true" outlineLevel="0" collapsed="false">
      <c r="A3" s="3"/>
      <c r="B3" s="4" t="s">
        <v>452</v>
      </c>
      <c r="C3" s="4" t="s">
        <v>453</v>
      </c>
      <c r="D3" s="16"/>
    </row>
    <row r="4" customFormat="false" ht="51.75" hidden="false" customHeight="true" outlineLevel="0" collapsed="false">
      <c r="A4" s="3"/>
      <c r="B4" s="4" t="s">
        <v>454</v>
      </c>
      <c r="C4" s="4" t="s">
        <v>455</v>
      </c>
      <c r="D4" s="16"/>
    </row>
    <row r="5" customFormat="false" ht="39" hidden="false" customHeight="true" outlineLevel="0" collapsed="false">
      <c r="A5" s="3"/>
      <c r="B5" s="4" t="s">
        <v>456</v>
      </c>
      <c r="C5" s="4" t="s">
        <v>457</v>
      </c>
      <c r="D5" s="16"/>
    </row>
    <row r="6" customFormat="false" ht="39" hidden="false" customHeight="true" outlineLevel="0" collapsed="false">
      <c r="A6" s="3"/>
      <c r="B6" s="4" t="s">
        <v>458</v>
      </c>
      <c r="C6" s="4" t="s">
        <v>459</v>
      </c>
      <c r="D6" s="16"/>
    </row>
    <row r="7" customFormat="false" ht="39" hidden="false" customHeight="true" outlineLevel="0" collapsed="false">
      <c r="A7" s="3" t="s">
        <v>173</v>
      </c>
      <c r="B7" s="4" t="s">
        <v>460</v>
      </c>
      <c r="C7" s="4" t="s">
        <v>461</v>
      </c>
      <c r="D7" s="16"/>
    </row>
    <row r="8" customFormat="false" ht="39" hidden="false" customHeight="true" outlineLevel="0" collapsed="false">
      <c r="A8" s="3"/>
      <c r="B8" s="4" t="s">
        <v>462</v>
      </c>
      <c r="C8" s="4" t="s">
        <v>463</v>
      </c>
      <c r="D8" s="16"/>
    </row>
    <row r="9" customFormat="false" ht="39" hidden="false" customHeight="true" outlineLevel="0" collapsed="false">
      <c r="A9" s="3"/>
      <c r="B9" s="4" t="s">
        <v>464</v>
      </c>
      <c r="C9" s="4" t="s">
        <v>465</v>
      </c>
      <c r="D9" s="16"/>
    </row>
    <row r="10" customFormat="false" ht="30" hidden="false" customHeight="true" outlineLevel="0" collapsed="false">
      <c r="A10" s="3"/>
      <c r="B10" s="4" t="s">
        <v>466</v>
      </c>
      <c r="C10" s="4" t="s">
        <v>467</v>
      </c>
      <c r="D10" s="16"/>
    </row>
    <row r="11" customFormat="false" ht="51.75" hidden="false" customHeight="true" outlineLevel="0" collapsed="false">
      <c r="A11" s="3" t="s">
        <v>175</v>
      </c>
      <c r="B11" s="4" t="s">
        <v>468</v>
      </c>
      <c r="C11" s="4" t="s">
        <v>469</v>
      </c>
      <c r="D11" s="16"/>
    </row>
    <row r="12" customFormat="false" ht="39" hidden="false" customHeight="true" outlineLevel="0" collapsed="false">
      <c r="A12" s="3"/>
      <c r="B12" s="4" t="s">
        <v>470</v>
      </c>
      <c r="C12" s="4" t="s">
        <v>471</v>
      </c>
      <c r="D12" s="16"/>
    </row>
    <row r="13" customFormat="false" ht="39" hidden="false" customHeight="true" outlineLevel="0" collapsed="false">
      <c r="A13" s="3"/>
      <c r="B13" s="4" t="s">
        <v>472</v>
      </c>
      <c r="C13" s="4" t="s">
        <v>473</v>
      </c>
      <c r="D13" s="16"/>
    </row>
    <row r="14" customFormat="false" ht="30" hidden="false" customHeight="true" outlineLevel="0" collapsed="false">
      <c r="A14" s="3"/>
      <c r="B14" s="4" t="s">
        <v>474</v>
      </c>
      <c r="C14" s="4" t="s">
        <v>475</v>
      </c>
      <c r="D14" s="16"/>
    </row>
    <row r="15" customFormat="false" ht="39" hidden="false" customHeight="true" outlineLevel="0" collapsed="false">
      <c r="A15" s="3" t="s">
        <v>177</v>
      </c>
      <c r="B15" s="4" t="s">
        <v>476</v>
      </c>
      <c r="C15" s="4" t="s">
        <v>477</v>
      </c>
      <c r="D15" s="16"/>
    </row>
    <row r="16" customFormat="false" ht="39" hidden="false" customHeight="true" outlineLevel="0" collapsed="false">
      <c r="A16" s="3"/>
      <c r="B16" s="4" t="s">
        <v>478</v>
      </c>
      <c r="C16" s="4" t="s">
        <v>479</v>
      </c>
      <c r="D16" s="16"/>
    </row>
    <row r="17" customFormat="false" ht="51.75" hidden="false" customHeight="true" outlineLevel="0" collapsed="false">
      <c r="A17" s="3"/>
      <c r="B17" s="4" t="s">
        <v>480</v>
      </c>
      <c r="C17" s="4" t="s">
        <v>481</v>
      </c>
      <c r="D17" s="16"/>
    </row>
    <row r="18" customFormat="false" ht="39" hidden="false" customHeight="true" outlineLevel="0" collapsed="false">
      <c r="A18" s="3"/>
      <c r="B18" s="4" t="s">
        <v>482</v>
      </c>
      <c r="C18" s="4" t="s">
        <v>483</v>
      </c>
      <c r="D18" s="16"/>
    </row>
    <row r="19" customFormat="false" ht="39" hidden="false" customHeight="true" outlineLevel="0" collapsed="false">
      <c r="A19" s="3"/>
      <c r="B19" s="4" t="s">
        <v>484</v>
      </c>
      <c r="C19" s="4" t="s">
        <v>485</v>
      </c>
      <c r="D19" s="16"/>
    </row>
  </sheetData>
  <mergeCells count="4">
    <mergeCell ref="A2:A6"/>
    <mergeCell ref="A7:A10"/>
    <mergeCell ref="A11:A14"/>
    <mergeCell ref="A15:A19"/>
  </mergeCells>
  <dataValidations count="1">
    <dataValidation allowBlank="true" errorStyle="stop" operator="between" showDropDown="false" showErrorMessage="false" showInputMessage="false" sqref="D2:D19"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6"/>
    <col collapsed="false" customWidth="true" hidden="false" outlineLevel="0" max="3" min="3" style="1" width="34"/>
    <col collapsed="false" customWidth="true" hidden="false" outlineLevel="0" max="4" min="4" style="1" width="44"/>
    <col collapsed="false" customWidth="true" hidden="false" outlineLevel="0" max="6" min="5" style="1" width="11"/>
    <col collapsed="false" customWidth="true" hidden="false" outlineLevel="0" max="7" min="7" style="1" width="15"/>
    <col collapsed="false" customWidth="true" hidden="false" outlineLevel="0" max="8" min="8" style="1" width="40"/>
  </cols>
  <sheetData>
    <row r="1" customFormat="false" ht="29.25" hidden="false" customHeight="true" outlineLevel="0" collapsed="false">
      <c r="A1" s="5" t="s">
        <v>21</v>
      </c>
      <c r="B1" s="5" t="s">
        <v>486</v>
      </c>
      <c r="C1" s="5" t="s">
        <v>22</v>
      </c>
      <c r="D1" s="5" t="s">
        <v>487</v>
      </c>
      <c r="E1" s="5" t="s">
        <v>488</v>
      </c>
      <c r="F1" s="5" t="s">
        <v>489</v>
      </c>
      <c r="G1" s="5" t="s">
        <v>205</v>
      </c>
      <c r="H1" s="5" t="s">
        <v>490</v>
      </c>
    </row>
    <row r="2" customFormat="false" ht="30" hidden="false" customHeight="true" outlineLevel="0" collapsed="false">
      <c r="A2" s="8" t="n">
        <v>1</v>
      </c>
      <c r="B2" s="4" t="s">
        <v>491</v>
      </c>
      <c r="C2" s="4" t="s">
        <v>121</v>
      </c>
      <c r="D2" s="4" t="s">
        <v>492</v>
      </c>
      <c r="E2" s="8" t="n">
        <v>15</v>
      </c>
      <c r="F2" s="19"/>
      <c r="G2" s="20"/>
      <c r="H2" s="20"/>
    </row>
    <row r="3" customFormat="false" ht="30" hidden="false" customHeight="true" outlineLevel="0" collapsed="false">
      <c r="A3" s="8" t="n">
        <v>2</v>
      </c>
      <c r="B3" s="4" t="s">
        <v>493</v>
      </c>
      <c r="C3" s="4" t="s">
        <v>121</v>
      </c>
      <c r="D3" s="4" t="s">
        <v>494</v>
      </c>
      <c r="E3" s="8" t="n">
        <v>15</v>
      </c>
      <c r="F3" s="19"/>
      <c r="G3" s="20"/>
      <c r="H3" s="20"/>
    </row>
    <row r="4" customFormat="false" ht="30" hidden="false" customHeight="true" outlineLevel="0" collapsed="false">
      <c r="A4" s="8" t="n">
        <v>3</v>
      </c>
      <c r="B4" s="4" t="s">
        <v>495</v>
      </c>
      <c r="C4" s="4" t="s">
        <v>127</v>
      </c>
      <c r="D4" s="4" t="s">
        <v>496</v>
      </c>
      <c r="E4" s="8" t="n">
        <v>15</v>
      </c>
      <c r="F4" s="19"/>
      <c r="G4" s="20"/>
      <c r="H4" s="20"/>
    </row>
    <row r="5" customFormat="false" ht="30" hidden="false" customHeight="true" outlineLevel="0" collapsed="false">
      <c r="A5" s="8" t="n">
        <v>4</v>
      </c>
      <c r="B5" s="4" t="s">
        <v>497</v>
      </c>
      <c r="C5" s="4" t="s">
        <v>127</v>
      </c>
      <c r="D5" s="4" t="s">
        <v>498</v>
      </c>
      <c r="E5" s="8" t="n">
        <v>15</v>
      </c>
      <c r="F5" s="19"/>
      <c r="G5" s="20"/>
      <c r="H5" s="20"/>
    </row>
    <row r="6" customFormat="false" ht="30" hidden="false" customHeight="true" outlineLevel="0" collapsed="false">
      <c r="A6" s="8" t="n">
        <v>5</v>
      </c>
      <c r="B6" s="4" t="s">
        <v>499</v>
      </c>
      <c r="C6" s="4" t="s">
        <v>500</v>
      </c>
      <c r="D6" s="4" t="s">
        <v>501</v>
      </c>
      <c r="E6" s="8" t="n">
        <v>15</v>
      </c>
      <c r="F6" s="19"/>
      <c r="G6" s="20"/>
      <c r="H6" s="20"/>
    </row>
    <row r="7" customFormat="false" ht="30" hidden="false" customHeight="true" outlineLevel="0" collapsed="false">
      <c r="A7" s="8" t="n">
        <v>6</v>
      </c>
      <c r="B7" s="4" t="s">
        <v>502</v>
      </c>
      <c r="C7" s="4" t="s">
        <v>141</v>
      </c>
      <c r="D7" s="4" t="s">
        <v>503</v>
      </c>
      <c r="E7" s="8" t="n">
        <v>15</v>
      </c>
      <c r="F7" s="19"/>
      <c r="G7" s="20"/>
      <c r="H7" s="20"/>
    </row>
    <row r="8" customFormat="false" ht="30" hidden="false" customHeight="true" outlineLevel="0" collapsed="false">
      <c r="A8" s="8" t="n">
        <v>7</v>
      </c>
      <c r="B8" s="4" t="s">
        <v>504</v>
      </c>
      <c r="C8" s="4" t="s">
        <v>141</v>
      </c>
      <c r="D8" s="4" t="s">
        <v>505</v>
      </c>
      <c r="E8" s="8" t="n">
        <v>15</v>
      </c>
      <c r="F8" s="19"/>
      <c r="G8" s="20"/>
      <c r="H8" s="20"/>
    </row>
    <row r="9" customFormat="false" ht="30" hidden="false" customHeight="true" outlineLevel="0" collapsed="false">
      <c r="A9" s="8" t="n">
        <v>8</v>
      </c>
      <c r="B9" s="4" t="s">
        <v>506</v>
      </c>
      <c r="C9" s="4" t="s">
        <v>148</v>
      </c>
      <c r="D9" s="4" t="s">
        <v>507</v>
      </c>
      <c r="E9" s="8" t="n">
        <v>15</v>
      </c>
      <c r="F9" s="19"/>
      <c r="G9" s="20"/>
      <c r="H9" s="20"/>
    </row>
    <row r="10" customFormat="false" ht="30" hidden="false" customHeight="true" outlineLevel="0" collapsed="false">
      <c r="A10" s="8" t="n">
        <v>9</v>
      </c>
      <c r="B10" s="4" t="s">
        <v>508</v>
      </c>
      <c r="C10" s="4" t="s">
        <v>509</v>
      </c>
      <c r="D10" s="4" t="s">
        <v>510</v>
      </c>
      <c r="E10" s="8" t="n">
        <v>15</v>
      </c>
      <c r="F10" s="19"/>
      <c r="G10" s="20"/>
      <c r="H10" s="20"/>
    </row>
    <row r="11" customFormat="false" ht="30" hidden="false" customHeight="true" outlineLevel="0" collapsed="false">
      <c r="A11" s="8" t="n">
        <v>10</v>
      </c>
      <c r="B11" s="4" t="s">
        <v>511</v>
      </c>
      <c r="C11" s="4" t="s">
        <v>155</v>
      </c>
      <c r="D11" s="4" t="s">
        <v>512</v>
      </c>
      <c r="E11" s="8" t="n">
        <v>15</v>
      </c>
      <c r="F11" s="19"/>
      <c r="G11" s="20"/>
      <c r="H11" s="20"/>
    </row>
    <row r="12" customFormat="false" ht="30" hidden="false" customHeight="true" outlineLevel="0" collapsed="false">
      <c r="A12" s="8" t="n">
        <v>11</v>
      </c>
      <c r="B12" s="4" t="s">
        <v>513</v>
      </c>
      <c r="C12" s="4" t="s">
        <v>155</v>
      </c>
      <c r="D12" s="4" t="s">
        <v>514</v>
      </c>
      <c r="E12" s="8" t="n">
        <v>15</v>
      </c>
      <c r="F12" s="19"/>
      <c r="G12" s="20"/>
      <c r="H12" s="20"/>
    </row>
    <row r="13" customFormat="false" ht="30" hidden="false" customHeight="true" outlineLevel="0" collapsed="false">
      <c r="A13" s="8" t="n">
        <v>12</v>
      </c>
      <c r="B13" s="4" t="s">
        <v>515</v>
      </c>
      <c r="C13" s="4" t="s">
        <v>161</v>
      </c>
      <c r="D13" s="4" t="s">
        <v>516</v>
      </c>
      <c r="E13" s="8" t="n">
        <v>15</v>
      </c>
      <c r="F13" s="19"/>
      <c r="G13" s="20"/>
      <c r="H13" s="20"/>
    </row>
    <row r="14" customFormat="false" ht="30" hidden="false" customHeight="true" outlineLevel="0" collapsed="false">
      <c r="A14" s="8" t="n">
        <v>13</v>
      </c>
      <c r="B14" s="4" t="s">
        <v>517</v>
      </c>
      <c r="C14" s="4" t="s">
        <v>161</v>
      </c>
      <c r="D14" s="4" t="s">
        <v>518</v>
      </c>
      <c r="E14" s="8" t="n">
        <v>15</v>
      </c>
      <c r="F14" s="19"/>
      <c r="G14" s="20"/>
      <c r="H14" s="20"/>
    </row>
    <row r="15" customFormat="false" ht="30" hidden="false" customHeight="true" outlineLevel="0" collapsed="false">
      <c r="A15" s="8" t="n">
        <v>14</v>
      </c>
      <c r="B15" s="4" t="s">
        <v>519</v>
      </c>
      <c r="C15" s="4" t="s">
        <v>164</v>
      </c>
      <c r="D15" s="4" t="s">
        <v>520</v>
      </c>
      <c r="E15" s="8" t="n">
        <v>15</v>
      </c>
      <c r="F15" s="19"/>
      <c r="G15" s="20"/>
      <c r="H15" s="20"/>
    </row>
    <row r="16" customFormat="false" ht="30" hidden="false" customHeight="true" outlineLevel="0" collapsed="false">
      <c r="A16" s="8" t="n">
        <v>15</v>
      </c>
      <c r="B16" s="4" t="s">
        <v>521</v>
      </c>
      <c r="C16" s="4" t="s">
        <v>164</v>
      </c>
      <c r="D16" s="4" t="s">
        <v>522</v>
      </c>
      <c r="E16" s="8" t="n">
        <v>15</v>
      </c>
      <c r="F16" s="19"/>
      <c r="G16" s="20"/>
      <c r="H16" s="20"/>
    </row>
    <row r="17" customFormat="false" ht="30" hidden="false" customHeight="true" outlineLevel="0" collapsed="false">
      <c r="A17" s="8" t="n">
        <v>16</v>
      </c>
      <c r="B17" s="4" t="s">
        <v>523</v>
      </c>
      <c r="C17" s="4" t="s">
        <v>170</v>
      </c>
      <c r="D17" s="4" t="s">
        <v>524</v>
      </c>
      <c r="E17" s="8" t="n">
        <v>15</v>
      </c>
      <c r="F17" s="19"/>
      <c r="G17" s="20"/>
      <c r="H17" s="20"/>
    </row>
    <row r="18" customFormat="false" ht="30" hidden="false" customHeight="true" outlineLevel="0" collapsed="false">
      <c r="A18" s="8" t="n">
        <v>17</v>
      </c>
      <c r="B18" s="4" t="s">
        <v>525</v>
      </c>
      <c r="C18" s="4" t="s">
        <v>170</v>
      </c>
      <c r="D18" s="4" t="s">
        <v>526</v>
      </c>
      <c r="E18" s="8" t="n">
        <v>15</v>
      </c>
      <c r="F18" s="19"/>
      <c r="G18" s="20"/>
      <c r="H18" s="20"/>
    </row>
    <row r="19" customFormat="false" ht="30" hidden="false" customHeight="true" outlineLevel="0" collapsed="false">
      <c r="A19" s="8" t="n">
        <v>18</v>
      </c>
      <c r="B19" s="4" t="s">
        <v>527</v>
      </c>
      <c r="C19" s="4" t="s">
        <v>528</v>
      </c>
      <c r="D19" s="4" t="s">
        <v>529</v>
      </c>
      <c r="E19" s="8" t="n">
        <v>15</v>
      </c>
      <c r="F19" s="19"/>
      <c r="G19" s="20"/>
      <c r="H19" s="20"/>
    </row>
    <row r="20" customFormat="false" ht="30" hidden="false" customHeight="true" outlineLevel="0" collapsed="false">
      <c r="A20" s="8" t="n">
        <v>19</v>
      </c>
      <c r="B20" s="4" t="s">
        <v>530</v>
      </c>
      <c r="C20" s="4" t="s">
        <v>181</v>
      </c>
      <c r="D20" s="4" t="s">
        <v>531</v>
      </c>
      <c r="E20" s="8" t="n">
        <v>15</v>
      </c>
      <c r="F20" s="19"/>
      <c r="G20" s="20"/>
      <c r="H20" s="20"/>
    </row>
    <row r="21" customFormat="false" ht="30" hidden="false" customHeight="true" outlineLevel="0" collapsed="false">
      <c r="A21" s="8" t="n">
        <v>20</v>
      </c>
      <c r="B21" s="4" t="s">
        <v>532</v>
      </c>
      <c r="C21" s="4" t="s">
        <v>181</v>
      </c>
      <c r="D21" s="4" t="s">
        <v>533</v>
      </c>
      <c r="E21" s="8" t="n">
        <v>15</v>
      </c>
      <c r="F21" s="19"/>
      <c r="G21" s="20"/>
      <c r="H21" s="20"/>
    </row>
    <row r="22" customFormat="false" ht="30" hidden="false" customHeight="true" outlineLevel="0" collapsed="false">
      <c r="A22" s="8" t="n">
        <v>21</v>
      </c>
      <c r="B22" s="4" t="s">
        <v>534</v>
      </c>
      <c r="C22" s="4" t="s">
        <v>181</v>
      </c>
      <c r="D22" s="4" t="s">
        <v>535</v>
      </c>
      <c r="E22" s="8" t="n">
        <v>15</v>
      </c>
      <c r="F22" s="19"/>
      <c r="G22" s="20"/>
      <c r="H22" s="20"/>
    </row>
    <row r="23" customFormat="false" ht="30" hidden="false" customHeight="true" outlineLevel="0" collapsed="false">
      <c r="A23" s="8" t="n">
        <v>22</v>
      </c>
      <c r="B23" s="4" t="s">
        <v>536</v>
      </c>
      <c r="C23" s="4" t="s">
        <v>181</v>
      </c>
      <c r="D23" s="4" t="s">
        <v>537</v>
      </c>
      <c r="E23" s="8" t="n">
        <v>15</v>
      </c>
      <c r="F23" s="19"/>
      <c r="G23" s="20"/>
      <c r="H23" s="20"/>
    </row>
    <row r="24" customFormat="false" ht="15" hidden="false" customHeight="true" outlineLevel="0" collapsed="false">
      <c r="A24" s="21"/>
      <c r="B24" s="21"/>
      <c r="C24" s="21"/>
      <c r="D24" s="22" t="s">
        <v>538</v>
      </c>
      <c r="E24" s="23" t="n">
        <f aca="false">SUM(E2:E23)</f>
        <v>330</v>
      </c>
      <c r="F24" s="23" t="n">
        <f aca="false">SUM(F2:F23)</f>
        <v>0</v>
      </c>
      <c r="G24" s="21"/>
      <c r="H24" s="21"/>
    </row>
    <row r="26" customFormat="false" ht="15" hidden="false" customHeight="true" outlineLevel="0" collapsed="false">
      <c r="C26" s="24" t="s">
        <v>539</v>
      </c>
      <c r="D26" s="25" t="n">
        <f aca="false">COUNTIF(G2:G23,"Done")</f>
        <v>0</v>
      </c>
    </row>
    <row r="27" customFormat="false" ht="15" hidden="false" customHeight="true" outlineLevel="0" collapsed="false">
      <c r="C27" s="24" t="s">
        <v>540</v>
      </c>
      <c r="D27" s="25" t="n">
        <f aca="false">COUNTIF(G2:G23,"Behind")</f>
        <v>0</v>
      </c>
    </row>
    <row r="28" customFormat="false" ht="15" hidden="false" customHeight="true" outlineLevel="0" collapsed="false">
      <c r="C28" s="24" t="s">
        <v>541</v>
      </c>
      <c r="D28" s="26" t="n">
        <f aca="false">IFERROR(F24/E24,"")</f>
        <v>0</v>
      </c>
    </row>
    <row r="30" customFormat="false" ht="15" hidden="false" customHeight="true" outlineLevel="0" collapsed="false">
      <c r="A30" s="18" t="s">
        <v>542</v>
      </c>
      <c r="B30" s="18"/>
      <c r="C30" s="18"/>
      <c r="D30" s="18"/>
      <c r="E30" s="18"/>
      <c r="F30" s="18"/>
      <c r="G30" s="18"/>
      <c r="H30" s="18"/>
    </row>
  </sheetData>
  <mergeCells count="1">
    <mergeCell ref="A30:H30"/>
  </mergeCells>
  <dataValidations count="2">
    <dataValidation allowBlank="true" errorStyle="stop" operator="between" showDropDown="false" showErrorMessage="false" showInputMessage="false" sqref="G2:G23" type="list">
      <formula1>"Not started,On track,Behind,Done"</formula1>
      <formula2>0</formula2>
    </dataValidation>
    <dataValidation allowBlank="true" error="Enter hours between 0 and 80." errorStyle="stop" errorTitle="Hours" operator="between" showDropDown="false" showErrorMessage="true" showInputMessage="false" sqref="F2:F23" type="decimal">
      <formula1>0</formula1>
      <formula2>80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2026-09-16T10:34:47Z</dcterms:created>
  <dc:creator>openpyxl</dc:creator>
  <dc:description/>
  <dc:language>en-US</dc:language>
  <cp:lastModifiedBy/>
  <dcterms:modified xsi:type="dcterms:W3CDTF">2026-09-16T10:39:46Z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